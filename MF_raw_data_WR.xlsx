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ynoothuniversity-my.sharepoint.com/personal/will_ryan_2026_mumail_ie/Documents/GY660[A] — Thesis/"/>
    </mc:Choice>
  </mc:AlternateContent>
  <xr:revisionPtr revIDLastSave="4820" documentId="8_{51EA8160-3728-7B4C-BA5A-5F226B339416}" xr6:coauthVersionLast="47" xr6:coauthVersionMax="47" xr10:uidLastSave="{8CFF3691-7E6B-43D8-B83F-0EE1C58FBB2A}"/>
  <bookViews>
    <workbookView xWindow="0" yWindow="600" windowWidth="28800" windowHeight="15600" firstSheet="1" activeTab="2" xr2:uid="{F35F8D17-A6DC-7746-B73F-81DF39647BC3}"/>
  </bookViews>
  <sheets>
    <sheet name="Sheet2" sheetId="7" r:id="rId1"/>
    <sheet name="MF template" sheetId="2" r:id="rId2"/>
    <sheet name="MF master count sheet" sheetId="5" r:id="rId3"/>
    <sheet name="% whole count" sheetId="20" r:id="rId4"/>
    <sheet name="Charcoal group layout " sheetId="22" r:id="rId5"/>
    <sheet name="rioja group layout" sheetId="19" r:id="rId6"/>
    <sheet name="rioja sub group layout" sheetId="21" r:id="rId7"/>
    <sheet name="9-10 cm" sheetId="6" r:id="rId8"/>
    <sheet name="19-20 cm " sheetId="8" r:id="rId9"/>
    <sheet name="29-30 cm " sheetId="9" r:id="rId10"/>
    <sheet name="39-40cm" sheetId="1" r:id="rId11"/>
    <sheet name="50-51 cm" sheetId="10" r:id="rId12"/>
    <sheet name="59-60 cm" sheetId="11" r:id="rId13"/>
    <sheet name="69-70 cm" sheetId="12" r:id="rId14"/>
    <sheet name="79-80 cm" sheetId="13" r:id="rId15"/>
    <sheet name="89-90cm" sheetId="3" r:id="rId16"/>
    <sheet name="100-101 cm" sheetId="14" r:id="rId17"/>
    <sheet name="109-110 cm" sheetId="15" r:id="rId18"/>
    <sheet name="119-120 cm" sheetId="16" r:id="rId19"/>
    <sheet name="129-130 cm" sheetId="17" r:id="rId20"/>
    <sheet name="139-140cm" sheetId="4" r:id="rId21"/>
    <sheet name="149-150 cm" sheetId="18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22" l="1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2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B37" i="22"/>
  <c r="Q32" i="22"/>
  <c r="Q33" i="22"/>
  <c r="Q34" i="22"/>
  <c r="Q35" i="22"/>
  <c r="Q36" i="22"/>
  <c r="Q31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B33" i="22"/>
  <c r="B34" i="22"/>
  <c r="B35" i="22"/>
  <c r="B36" i="22"/>
  <c r="B32" i="22"/>
  <c r="B31" i="22"/>
  <c r="Q11" i="6"/>
  <c r="Q27" i="22"/>
  <c r="Q26" i="22"/>
  <c r="Q25" i="22"/>
  <c r="Q24" i="22"/>
  <c r="Q23" i="22"/>
  <c r="Q22" i="22"/>
  <c r="Q28" i="22" s="1"/>
  <c r="B44" i="1"/>
  <c r="B43" i="9"/>
  <c r="F44" i="9"/>
  <c r="B45" i="11"/>
  <c r="B68" i="20"/>
  <c r="C47" i="20"/>
  <c r="D47" i="20"/>
  <c r="E47" i="20"/>
  <c r="F47" i="20"/>
  <c r="G47" i="20"/>
  <c r="H47" i="20"/>
  <c r="I47" i="20"/>
  <c r="J47" i="20"/>
  <c r="K47" i="20"/>
  <c r="L47" i="20"/>
  <c r="M47" i="20"/>
  <c r="N47" i="20"/>
  <c r="O47" i="20"/>
  <c r="P47" i="20"/>
  <c r="C48" i="20"/>
  <c r="D48" i="20"/>
  <c r="E48" i="20"/>
  <c r="F48" i="20"/>
  <c r="G48" i="20"/>
  <c r="H48" i="20"/>
  <c r="I48" i="20"/>
  <c r="J48" i="20"/>
  <c r="K48" i="20"/>
  <c r="L48" i="20"/>
  <c r="M48" i="20"/>
  <c r="N48" i="20"/>
  <c r="O48" i="20"/>
  <c r="P48" i="20"/>
  <c r="C49" i="20"/>
  <c r="D49" i="20"/>
  <c r="E49" i="20"/>
  <c r="F49" i="20"/>
  <c r="F68" i="20" s="1"/>
  <c r="G49" i="20"/>
  <c r="H49" i="20"/>
  <c r="I49" i="20"/>
  <c r="J49" i="20"/>
  <c r="K49" i="20"/>
  <c r="L49" i="20"/>
  <c r="M49" i="20"/>
  <c r="N49" i="20"/>
  <c r="N68" i="20" s="1"/>
  <c r="O49" i="20"/>
  <c r="P49" i="20"/>
  <c r="B47" i="20"/>
  <c r="B48" i="20"/>
  <c r="B49" i="20"/>
  <c r="C46" i="20"/>
  <c r="D46" i="20"/>
  <c r="E46" i="20"/>
  <c r="E68" i="20" s="1"/>
  <c r="F46" i="20"/>
  <c r="G46" i="20"/>
  <c r="G68" i="20" s="1"/>
  <c r="H46" i="20"/>
  <c r="H68" i="20" s="1"/>
  <c r="I46" i="20"/>
  <c r="J46" i="20"/>
  <c r="K46" i="20"/>
  <c r="L46" i="20"/>
  <c r="M46" i="20"/>
  <c r="M68" i="20" s="1"/>
  <c r="N46" i="20"/>
  <c r="O46" i="20"/>
  <c r="O68" i="20" s="1"/>
  <c r="P46" i="20"/>
  <c r="P68" i="20" s="1"/>
  <c r="B46" i="20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C60" i="20"/>
  <c r="D60" i="20"/>
  <c r="E60" i="20"/>
  <c r="F60" i="20"/>
  <c r="G60" i="20"/>
  <c r="H60" i="20"/>
  <c r="I60" i="20"/>
  <c r="J60" i="20"/>
  <c r="K60" i="20"/>
  <c r="L60" i="20"/>
  <c r="M60" i="20"/>
  <c r="N60" i="20"/>
  <c r="O60" i="20"/>
  <c r="P60" i="20"/>
  <c r="B60" i="20"/>
  <c r="C53" i="20"/>
  <c r="D53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C52" i="20"/>
  <c r="D52" i="20"/>
  <c r="E52" i="20"/>
  <c r="F52" i="20"/>
  <c r="G52" i="20"/>
  <c r="H52" i="20"/>
  <c r="I52" i="20"/>
  <c r="J52" i="20"/>
  <c r="K52" i="20"/>
  <c r="L52" i="20"/>
  <c r="M52" i="20"/>
  <c r="N52" i="20"/>
  <c r="O52" i="20"/>
  <c r="P52" i="20"/>
  <c r="B52" i="20"/>
  <c r="B53" i="20"/>
  <c r="C51" i="20"/>
  <c r="D51" i="20"/>
  <c r="E51" i="20"/>
  <c r="F51" i="20"/>
  <c r="G51" i="20"/>
  <c r="H51" i="20"/>
  <c r="I51" i="20"/>
  <c r="J51" i="20"/>
  <c r="K51" i="20"/>
  <c r="L51" i="20"/>
  <c r="M51" i="20"/>
  <c r="N51" i="20"/>
  <c r="O51" i="20"/>
  <c r="P51" i="20"/>
  <c r="B51" i="20"/>
  <c r="U7" i="18"/>
  <c r="U20" i="18"/>
  <c r="U17" i="18"/>
  <c r="U16" i="18"/>
  <c r="U9" i="18"/>
  <c r="U8" i="18"/>
  <c r="V10" i="18"/>
  <c r="V22" i="18"/>
  <c r="Q18" i="18"/>
  <c r="Q19" i="18"/>
  <c r="Q20" i="18"/>
  <c r="Q17" i="18"/>
  <c r="Q9" i="18"/>
  <c r="Q10" i="18"/>
  <c r="Q8" i="18"/>
  <c r="U17" i="4"/>
  <c r="U20" i="4"/>
  <c r="U16" i="4"/>
  <c r="U8" i="4"/>
  <c r="U9" i="4"/>
  <c r="U7" i="4"/>
  <c r="V10" i="4"/>
  <c r="V22" i="4"/>
  <c r="Q18" i="4"/>
  <c r="Q10" i="4"/>
  <c r="Q19" i="4"/>
  <c r="Q20" i="4"/>
  <c r="Q17" i="4"/>
  <c r="Q9" i="4"/>
  <c r="Q8" i="4"/>
  <c r="U20" i="17"/>
  <c r="U17" i="17"/>
  <c r="U16" i="17"/>
  <c r="U8" i="17"/>
  <c r="U9" i="17"/>
  <c r="U7" i="17"/>
  <c r="V22" i="17"/>
  <c r="V10" i="17"/>
  <c r="Q19" i="17"/>
  <c r="Q20" i="17"/>
  <c r="Q21" i="17"/>
  <c r="Q18" i="17"/>
  <c r="K22" i="17"/>
  <c r="B22" i="17"/>
  <c r="Q9" i="17"/>
  <c r="Q10" i="17"/>
  <c r="Q11" i="17"/>
  <c r="Q8" i="17"/>
  <c r="U17" i="16"/>
  <c r="U16" i="16"/>
  <c r="U8" i="16"/>
  <c r="U9" i="16"/>
  <c r="U7" i="16"/>
  <c r="V22" i="16"/>
  <c r="V10" i="16"/>
  <c r="Q18" i="16"/>
  <c r="Q19" i="16"/>
  <c r="Q17" i="16"/>
  <c r="Q9" i="16"/>
  <c r="Q10" i="16"/>
  <c r="Q8" i="16"/>
  <c r="U18" i="15"/>
  <c r="U10" i="15"/>
  <c r="U11" i="15"/>
  <c r="U9" i="15"/>
  <c r="V24" i="15"/>
  <c r="V12" i="15"/>
  <c r="Q18" i="15"/>
  <c r="Q19" i="15"/>
  <c r="Q17" i="15"/>
  <c r="Q10" i="15"/>
  <c r="Q9" i="15"/>
  <c r="Q8" i="15"/>
  <c r="U20" i="14"/>
  <c r="U17" i="14"/>
  <c r="U18" i="14"/>
  <c r="U19" i="14"/>
  <c r="U16" i="14"/>
  <c r="U7" i="14"/>
  <c r="U9" i="14"/>
  <c r="U8" i="14"/>
  <c r="V22" i="14"/>
  <c r="V10" i="14"/>
  <c r="Q21" i="14"/>
  <c r="Q18" i="14"/>
  <c r="Q19" i="14"/>
  <c r="Q20" i="14"/>
  <c r="Q17" i="14"/>
  <c r="Q9" i="14"/>
  <c r="Q10" i="14"/>
  <c r="Q8" i="14"/>
  <c r="U6" i="3"/>
  <c r="U17" i="3"/>
  <c r="U20" i="3"/>
  <c r="V22" i="3"/>
  <c r="U16" i="3"/>
  <c r="U9" i="3"/>
  <c r="U8" i="3"/>
  <c r="U7" i="3"/>
  <c r="V10" i="3"/>
  <c r="V11" i="12"/>
  <c r="V11" i="13"/>
  <c r="Q18" i="3"/>
  <c r="Q19" i="3"/>
  <c r="Q20" i="3"/>
  <c r="Q17" i="3"/>
  <c r="Q9" i="3"/>
  <c r="Q10" i="3"/>
  <c r="Q8" i="3"/>
  <c r="U22" i="13"/>
  <c r="U18" i="13"/>
  <c r="U17" i="13"/>
  <c r="U21" i="13"/>
  <c r="U10" i="13"/>
  <c r="U9" i="13"/>
  <c r="U8" i="13"/>
  <c r="V23" i="13"/>
  <c r="Q18" i="13"/>
  <c r="Q19" i="13"/>
  <c r="Q20" i="13"/>
  <c r="Q21" i="13"/>
  <c r="Q17" i="13"/>
  <c r="Q9" i="13"/>
  <c r="Q10" i="13"/>
  <c r="Q8" i="13"/>
  <c r="Q8" i="12"/>
  <c r="U18" i="12"/>
  <c r="Q21" i="12"/>
  <c r="V23" i="12" s="1"/>
  <c r="Q18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U8" i="12"/>
  <c r="Q17" i="12"/>
  <c r="Q20" i="12"/>
  <c r="Q9" i="12"/>
  <c r="Q10" i="12"/>
  <c r="U18" i="11"/>
  <c r="U19" i="11"/>
  <c r="U20" i="11"/>
  <c r="U17" i="11"/>
  <c r="U9" i="11"/>
  <c r="U10" i="11"/>
  <c r="U8" i="11"/>
  <c r="V23" i="11"/>
  <c r="V11" i="11"/>
  <c r="Q18" i="11"/>
  <c r="Q19" i="11"/>
  <c r="Q20" i="11"/>
  <c r="Q17" i="11"/>
  <c r="Q9" i="11"/>
  <c r="Q10" i="11"/>
  <c r="Q8" i="11"/>
  <c r="Q8" i="10"/>
  <c r="V11" i="10" s="1"/>
  <c r="U10" i="10" s="1"/>
  <c r="U18" i="10"/>
  <c r="U17" i="10"/>
  <c r="Q18" i="10"/>
  <c r="Q19" i="10"/>
  <c r="Q20" i="10"/>
  <c r="Q17" i="10"/>
  <c r="V23" i="10"/>
  <c r="Q9" i="10"/>
  <c r="Q10" i="10"/>
  <c r="Q11" i="9"/>
  <c r="Q11" i="10"/>
  <c r="Q10" i="9"/>
  <c r="Q9" i="9"/>
  <c r="Q8" i="9"/>
  <c r="Q17" i="9"/>
  <c r="Q18" i="9"/>
  <c r="U10" i="1"/>
  <c r="U17" i="1"/>
  <c r="U18" i="1"/>
  <c r="U19" i="1"/>
  <c r="U20" i="1"/>
  <c r="V23" i="1"/>
  <c r="Q17" i="1"/>
  <c r="Q18" i="1"/>
  <c r="Q19" i="1"/>
  <c r="Q20" i="1"/>
  <c r="U8" i="1"/>
  <c r="V11" i="1"/>
  <c r="Q10" i="1"/>
  <c r="Q9" i="1"/>
  <c r="U9" i="1" s="1"/>
  <c r="Q8" i="1"/>
  <c r="Q7" i="9"/>
  <c r="U18" i="8"/>
  <c r="U17" i="8"/>
  <c r="U18" i="9"/>
  <c r="U17" i="9"/>
  <c r="V23" i="9"/>
  <c r="V11" i="9"/>
  <c r="U19" i="9" s="1"/>
  <c r="Q19" i="9"/>
  <c r="Q20" i="9"/>
  <c r="Q8" i="8"/>
  <c r="Q7" i="5"/>
  <c r="U20" i="8"/>
  <c r="U19" i="8"/>
  <c r="Q18" i="8"/>
  <c r="Q19" i="8"/>
  <c r="Q20" i="8"/>
  <c r="Q17" i="8"/>
  <c r="V23" i="8"/>
  <c r="V11" i="8"/>
  <c r="U8" i="8" s="1"/>
  <c r="Q9" i="8"/>
  <c r="Q10" i="8"/>
  <c r="U17" i="6"/>
  <c r="U18" i="6"/>
  <c r="V23" i="6"/>
  <c r="U10" i="6"/>
  <c r="U9" i="6"/>
  <c r="U8" i="6"/>
  <c r="R23" i="6"/>
  <c r="V11" i="6"/>
  <c r="Q8" i="6"/>
  <c r="R10" i="6"/>
  <c r="B43" i="8"/>
  <c r="U24" i="4" a="1"/>
  <c r="U24" i="4" s="1"/>
  <c r="U22" i="4"/>
  <c r="U15" i="4"/>
  <c r="U10" i="4"/>
  <c r="U6" i="4"/>
  <c r="U24" i="17" a="1"/>
  <c r="U24" i="17" s="1"/>
  <c r="U15" i="17"/>
  <c r="U6" i="17"/>
  <c r="U24" i="16" a="1"/>
  <c r="U24" i="16" s="1"/>
  <c r="U22" i="16"/>
  <c r="U15" i="16"/>
  <c r="U10" i="16"/>
  <c r="U6" i="16"/>
  <c r="U26" i="15" a="1"/>
  <c r="U26" i="15" s="1"/>
  <c r="U24" i="15"/>
  <c r="U17" i="15"/>
  <c r="U12" i="15"/>
  <c r="U8" i="15"/>
  <c r="U24" i="14" a="1"/>
  <c r="U24" i="14" s="1"/>
  <c r="U22" i="14"/>
  <c r="U15" i="14"/>
  <c r="U10" i="14"/>
  <c r="U6" i="14"/>
  <c r="U24" i="3" a="1"/>
  <c r="U24" i="3" s="1"/>
  <c r="U22" i="3"/>
  <c r="U15" i="3"/>
  <c r="U10" i="3"/>
  <c r="U25" i="13" a="1"/>
  <c r="U25" i="13" s="1"/>
  <c r="U23" i="13"/>
  <c r="U16" i="13"/>
  <c r="U11" i="13"/>
  <c r="U7" i="13"/>
  <c r="U25" i="12" a="1"/>
  <c r="U25" i="12" s="1"/>
  <c r="U16" i="12"/>
  <c r="U11" i="12"/>
  <c r="U7" i="12"/>
  <c r="U25" i="11" a="1"/>
  <c r="U25" i="11" s="1"/>
  <c r="U23" i="11"/>
  <c r="U16" i="11"/>
  <c r="U11" i="11"/>
  <c r="U7" i="11"/>
  <c r="U25" i="10" a="1"/>
  <c r="U25" i="10" s="1"/>
  <c r="U23" i="10"/>
  <c r="U16" i="10"/>
  <c r="U11" i="10"/>
  <c r="U7" i="10"/>
  <c r="U25" i="1" a="1"/>
  <c r="U25" i="1" s="1"/>
  <c r="U23" i="1"/>
  <c r="U16" i="1"/>
  <c r="U11" i="1"/>
  <c r="U7" i="1"/>
  <c r="U25" i="9" a="1"/>
  <c r="U25" i="9" s="1"/>
  <c r="U23" i="9"/>
  <c r="U16" i="9"/>
  <c r="U11" i="9"/>
  <c r="U7" i="9"/>
  <c r="U25" i="8" a="1"/>
  <c r="U25" i="8" s="1"/>
  <c r="U23" i="8"/>
  <c r="U16" i="8"/>
  <c r="U11" i="8"/>
  <c r="U7" i="8"/>
  <c r="U25" i="6" a="1"/>
  <c r="U25" i="6" s="1"/>
  <c r="U31" i="6"/>
  <c r="U23" i="6"/>
  <c r="U16" i="6"/>
  <c r="U11" i="6"/>
  <c r="U7" i="6"/>
  <c r="R17" i="6"/>
  <c r="R18" i="6"/>
  <c r="Q17" i="6"/>
  <c r="R9" i="6"/>
  <c r="R8" i="6"/>
  <c r="Q10" i="6"/>
  <c r="Q18" i="6"/>
  <c r="Q19" i="6"/>
  <c r="Q20" i="6"/>
  <c r="Q29" i="6"/>
  <c r="Q31" i="6"/>
  <c r="Q9" i="6"/>
  <c r="Q21" i="6"/>
  <c r="N33" i="5"/>
  <c r="B41" i="4"/>
  <c r="C41" i="4" s="1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Q28" i="4"/>
  <c r="Q27" i="4"/>
  <c r="Q26" i="4"/>
  <c r="Q25" i="4"/>
  <c r="Q24" i="4"/>
  <c r="Q23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Q37" i="22" l="1"/>
  <c r="L68" i="20"/>
  <c r="K68" i="20"/>
  <c r="C68" i="20"/>
  <c r="D68" i="20"/>
  <c r="J68" i="20"/>
  <c r="I68" i="20"/>
  <c r="U10" i="12"/>
  <c r="U9" i="12"/>
  <c r="U20" i="12"/>
  <c r="U8" i="9"/>
  <c r="U20" i="9"/>
  <c r="U10" i="9"/>
  <c r="U9" i="9"/>
  <c r="U10" i="8"/>
  <c r="U9" i="8"/>
  <c r="Q29" i="5"/>
  <c r="Q25" i="5"/>
  <c r="Q30" i="5"/>
  <c r="Q27" i="5"/>
  <c r="Q26" i="5"/>
  <c r="Q28" i="5"/>
  <c r="Q16" i="5"/>
  <c r="Q11" i="5"/>
  <c r="F33" i="5"/>
  <c r="J33" i="5"/>
  <c r="B33" i="5"/>
  <c r="E33" i="5"/>
  <c r="M33" i="5"/>
  <c r="O33" i="5"/>
  <c r="G33" i="5"/>
  <c r="C33" i="5"/>
  <c r="K33" i="5"/>
  <c r="P33" i="5"/>
  <c r="I33" i="5"/>
  <c r="D33" i="5"/>
  <c r="L33" i="5"/>
  <c r="H33" i="5"/>
  <c r="Q23" i="5"/>
  <c r="P31" i="4"/>
  <c r="O31" i="4"/>
  <c r="N31" i="4"/>
  <c r="Q7" i="4"/>
  <c r="M31" i="4"/>
  <c r="L31" i="4"/>
  <c r="K31" i="4"/>
  <c r="J31" i="4"/>
  <c r="I31" i="4"/>
  <c r="H31" i="4"/>
  <c r="Q11" i="4"/>
  <c r="Q21" i="4"/>
  <c r="Q16" i="4"/>
  <c r="G31" i="4"/>
  <c r="F31" i="4"/>
  <c r="E31" i="4"/>
  <c r="D31" i="4"/>
  <c r="C31" i="4"/>
  <c r="Q29" i="4"/>
  <c r="R26" i="4" s="1"/>
  <c r="B31" i="4"/>
  <c r="C37" i="4"/>
  <c r="C38" i="4"/>
  <c r="C39" i="4"/>
  <c r="C40" i="4"/>
  <c r="K21" i="3"/>
  <c r="L21" i="3"/>
  <c r="M21" i="3"/>
  <c r="N21" i="3"/>
  <c r="O21" i="3"/>
  <c r="P21" i="3"/>
  <c r="D21" i="3"/>
  <c r="E21" i="3"/>
  <c r="F21" i="3"/>
  <c r="G21" i="3"/>
  <c r="H21" i="3"/>
  <c r="I21" i="3"/>
  <c r="J21" i="3"/>
  <c r="B21" i="3"/>
  <c r="C21" i="3"/>
  <c r="B41" i="3"/>
  <c r="C41" i="3" s="1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Q28" i="3"/>
  <c r="Q27" i="3"/>
  <c r="Q26" i="3"/>
  <c r="Q25" i="3"/>
  <c r="Q24" i="3"/>
  <c r="Q23" i="3"/>
  <c r="P16" i="3"/>
  <c r="O16" i="3"/>
  <c r="O31" i="3" s="1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41" i="1"/>
  <c r="C41" i="1" s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Q28" i="1"/>
  <c r="Q27" i="1"/>
  <c r="Q26" i="1"/>
  <c r="Q25" i="1"/>
  <c r="Q24" i="1"/>
  <c r="Q23" i="1"/>
  <c r="P21" i="1"/>
  <c r="O21" i="1"/>
  <c r="N21" i="1"/>
  <c r="M21" i="1"/>
  <c r="L21" i="1"/>
  <c r="K21" i="1"/>
  <c r="J21" i="1"/>
  <c r="I21" i="1"/>
  <c r="H21" i="1"/>
  <c r="G21" i="1"/>
  <c r="F21" i="1"/>
  <c r="F31" i="1" s="1"/>
  <c r="E21" i="1"/>
  <c r="D21" i="1"/>
  <c r="C21" i="1"/>
  <c r="B21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41" i="9"/>
  <c r="C41" i="9" s="1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Q28" i="9"/>
  <c r="Q27" i="9"/>
  <c r="Q26" i="9"/>
  <c r="Q25" i="9"/>
  <c r="Q24" i="9"/>
  <c r="Q23" i="9"/>
  <c r="P21" i="9"/>
  <c r="O21" i="9"/>
  <c r="N21" i="9"/>
  <c r="M21" i="9"/>
  <c r="L21" i="9"/>
  <c r="K21" i="9"/>
  <c r="J21" i="9"/>
  <c r="I21" i="9"/>
  <c r="H21" i="9"/>
  <c r="H31" i="9" s="1"/>
  <c r="G21" i="9"/>
  <c r="F21" i="9"/>
  <c r="E21" i="9"/>
  <c r="D21" i="9"/>
  <c r="C21" i="9"/>
  <c r="B21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1" i="8"/>
  <c r="C41" i="8" s="1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Q28" i="8"/>
  <c r="Q27" i="8"/>
  <c r="Q26" i="8"/>
  <c r="Q25" i="8"/>
  <c r="Q24" i="8"/>
  <c r="Q23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Q16" i="8" s="1"/>
  <c r="B16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B41" i="6"/>
  <c r="C41" i="6" s="1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Q28" i="6"/>
  <c r="Q27" i="6"/>
  <c r="Q26" i="6"/>
  <c r="Q25" i="6"/>
  <c r="Q24" i="6"/>
  <c r="Q23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M21" i="18"/>
  <c r="B41" i="18"/>
  <c r="C41" i="18" s="1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Q28" i="18"/>
  <c r="Q27" i="18"/>
  <c r="Q26" i="18"/>
  <c r="Q25" i="18"/>
  <c r="Q24" i="18"/>
  <c r="Q23" i="18"/>
  <c r="P21" i="18"/>
  <c r="O21" i="18"/>
  <c r="N21" i="18"/>
  <c r="L21" i="18"/>
  <c r="K21" i="18"/>
  <c r="J21" i="18"/>
  <c r="I21" i="18"/>
  <c r="H21" i="18"/>
  <c r="G21" i="18"/>
  <c r="F21" i="18"/>
  <c r="E21" i="18"/>
  <c r="D21" i="18"/>
  <c r="D31" i="18" s="1"/>
  <c r="C21" i="18"/>
  <c r="B21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O2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B12" i="17"/>
  <c r="L31" i="18" l="1"/>
  <c r="U21" i="12"/>
  <c r="U17" i="12"/>
  <c r="Q31" i="5"/>
  <c r="Q33" i="5"/>
  <c r="R28" i="4"/>
  <c r="R23" i="4"/>
  <c r="R27" i="4"/>
  <c r="Q31" i="4"/>
  <c r="R25" i="4"/>
  <c r="R24" i="4"/>
  <c r="P31" i="3"/>
  <c r="N31" i="3"/>
  <c r="M31" i="3"/>
  <c r="Q16" i="3"/>
  <c r="L31" i="3"/>
  <c r="K31" i="3"/>
  <c r="J31" i="3"/>
  <c r="I31" i="3"/>
  <c r="H31" i="3"/>
  <c r="G31" i="3"/>
  <c r="F31" i="3"/>
  <c r="E31" i="3"/>
  <c r="D31" i="3"/>
  <c r="Q11" i="3"/>
  <c r="C31" i="3"/>
  <c r="Q21" i="3"/>
  <c r="Q7" i="3"/>
  <c r="Q29" i="3"/>
  <c r="R25" i="3" s="1"/>
  <c r="B31" i="3"/>
  <c r="C37" i="3"/>
  <c r="C38" i="3"/>
  <c r="C39" i="3"/>
  <c r="C40" i="3"/>
  <c r="C37" i="1"/>
  <c r="C38" i="1"/>
  <c r="C39" i="1"/>
  <c r="C40" i="1"/>
  <c r="Q29" i="1"/>
  <c r="R23" i="1" s="1"/>
  <c r="P31" i="1"/>
  <c r="O31" i="1"/>
  <c r="N31" i="1"/>
  <c r="M31" i="1"/>
  <c r="L31" i="1"/>
  <c r="Q7" i="1"/>
  <c r="K31" i="1"/>
  <c r="J31" i="1"/>
  <c r="I31" i="1"/>
  <c r="H31" i="1"/>
  <c r="G31" i="1"/>
  <c r="E31" i="1"/>
  <c r="Q16" i="1"/>
  <c r="Q21" i="1"/>
  <c r="D31" i="1"/>
  <c r="Q11" i="1"/>
  <c r="C31" i="1"/>
  <c r="B31" i="1"/>
  <c r="Q29" i="9"/>
  <c r="R23" i="9" s="1"/>
  <c r="P31" i="9"/>
  <c r="O31" i="9"/>
  <c r="N31" i="9"/>
  <c r="M31" i="9"/>
  <c r="Q16" i="9"/>
  <c r="L31" i="9"/>
  <c r="K31" i="9"/>
  <c r="J31" i="9"/>
  <c r="Q21" i="9"/>
  <c r="I31" i="9"/>
  <c r="G31" i="9"/>
  <c r="F31" i="9"/>
  <c r="E31" i="9"/>
  <c r="D31" i="9"/>
  <c r="C31" i="9"/>
  <c r="B31" i="9"/>
  <c r="C37" i="9"/>
  <c r="C38" i="9"/>
  <c r="C39" i="9"/>
  <c r="C40" i="9"/>
  <c r="Q29" i="8"/>
  <c r="R24" i="8" s="1"/>
  <c r="P31" i="8"/>
  <c r="O31" i="8"/>
  <c r="N31" i="8"/>
  <c r="M31" i="8"/>
  <c r="L31" i="8"/>
  <c r="K31" i="8"/>
  <c r="J31" i="8"/>
  <c r="I31" i="8"/>
  <c r="H31" i="8"/>
  <c r="G31" i="8"/>
  <c r="F31" i="8"/>
  <c r="E31" i="8"/>
  <c r="Q7" i="8"/>
  <c r="D31" i="8"/>
  <c r="Q21" i="8"/>
  <c r="C31" i="8"/>
  <c r="Q11" i="8"/>
  <c r="B31" i="8"/>
  <c r="C37" i="8"/>
  <c r="C38" i="8"/>
  <c r="C39" i="8"/>
  <c r="C40" i="8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C37" i="6"/>
  <c r="C38" i="6"/>
  <c r="C39" i="6"/>
  <c r="C40" i="6"/>
  <c r="C37" i="18"/>
  <c r="C38" i="18"/>
  <c r="C40" i="18"/>
  <c r="C39" i="18"/>
  <c r="P31" i="18"/>
  <c r="O31" i="18"/>
  <c r="N31" i="18"/>
  <c r="M31" i="18"/>
  <c r="K31" i="18"/>
  <c r="J31" i="18"/>
  <c r="I31" i="18"/>
  <c r="H31" i="18"/>
  <c r="Q11" i="18"/>
  <c r="U10" i="18" s="1"/>
  <c r="G31" i="18"/>
  <c r="F31" i="18"/>
  <c r="Q7" i="18"/>
  <c r="U6" i="18" s="1"/>
  <c r="E31" i="18"/>
  <c r="Q16" i="18"/>
  <c r="U15" i="18" s="1"/>
  <c r="Q21" i="18"/>
  <c r="U22" i="18" s="1"/>
  <c r="C31" i="18"/>
  <c r="Q29" i="18"/>
  <c r="R25" i="18" s="1"/>
  <c r="B31" i="18"/>
  <c r="B42" i="17"/>
  <c r="C42" i="17" s="1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Q29" i="17"/>
  <c r="Q28" i="17"/>
  <c r="Q27" i="17"/>
  <c r="Q26" i="17"/>
  <c r="Q25" i="17"/>
  <c r="Q24" i="17"/>
  <c r="P22" i="17"/>
  <c r="N22" i="17"/>
  <c r="M22" i="17"/>
  <c r="L22" i="17"/>
  <c r="J22" i="17"/>
  <c r="I22" i="17"/>
  <c r="H22" i="17"/>
  <c r="G22" i="17"/>
  <c r="F22" i="17"/>
  <c r="E22" i="17"/>
  <c r="D22" i="17"/>
  <c r="C22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B41" i="16"/>
  <c r="C41" i="16" s="1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Q28" i="16"/>
  <c r="Q27" i="16"/>
  <c r="Q26" i="16"/>
  <c r="Q25" i="16"/>
  <c r="Q24" i="16"/>
  <c r="Q23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B41" i="15"/>
  <c r="C41" i="15" s="1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Q28" i="15"/>
  <c r="Q27" i="15"/>
  <c r="Q26" i="15"/>
  <c r="Q25" i="15"/>
  <c r="Q24" i="15"/>
  <c r="Q23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L22" i="14"/>
  <c r="M22" i="14"/>
  <c r="N22" i="14"/>
  <c r="O22" i="14"/>
  <c r="P22" i="14"/>
  <c r="K22" i="14"/>
  <c r="B42" i="14"/>
  <c r="C42" i="14" s="1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Q29" i="14"/>
  <c r="Q28" i="14"/>
  <c r="Q27" i="14"/>
  <c r="Q26" i="14"/>
  <c r="Q25" i="14"/>
  <c r="Q24" i="14"/>
  <c r="J22" i="14"/>
  <c r="I22" i="14"/>
  <c r="H22" i="14"/>
  <c r="G22" i="14"/>
  <c r="F22" i="14"/>
  <c r="E22" i="14"/>
  <c r="D22" i="14"/>
  <c r="C22" i="14"/>
  <c r="B22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N22" i="13"/>
  <c r="M22" i="13"/>
  <c r="B42" i="13"/>
  <c r="C42" i="13" s="1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Q29" i="13"/>
  <c r="Q28" i="13"/>
  <c r="Q27" i="13"/>
  <c r="Q26" i="13"/>
  <c r="Q25" i="13"/>
  <c r="Q24" i="13"/>
  <c r="P22" i="13"/>
  <c r="O22" i="13"/>
  <c r="L22" i="13"/>
  <c r="K22" i="13"/>
  <c r="J22" i="13"/>
  <c r="I22" i="13"/>
  <c r="H22" i="13"/>
  <c r="G22" i="13"/>
  <c r="F22" i="13"/>
  <c r="E22" i="13"/>
  <c r="D22" i="13"/>
  <c r="C22" i="13"/>
  <c r="B22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U24" i="18" l="1" a="1"/>
  <c r="U24" i="18" s="1"/>
  <c r="Q31" i="3"/>
  <c r="R27" i="3"/>
  <c r="R26" i="3"/>
  <c r="R24" i="3"/>
  <c r="R28" i="3"/>
  <c r="R23" i="3"/>
  <c r="R25" i="1"/>
  <c r="R24" i="1"/>
  <c r="R28" i="1"/>
  <c r="R27" i="1"/>
  <c r="R26" i="1"/>
  <c r="Q31" i="1"/>
  <c r="R27" i="9"/>
  <c r="R26" i="9"/>
  <c r="R25" i="9"/>
  <c r="R24" i="9"/>
  <c r="R28" i="9"/>
  <c r="Q31" i="9"/>
  <c r="R25" i="8"/>
  <c r="R27" i="8"/>
  <c r="R26" i="8"/>
  <c r="R23" i="8"/>
  <c r="R28" i="8"/>
  <c r="Q31" i="8"/>
  <c r="R28" i="6"/>
  <c r="R26" i="6"/>
  <c r="R25" i="6"/>
  <c r="R27" i="6"/>
  <c r="R24" i="6"/>
  <c r="Q31" i="18"/>
  <c r="R24" i="18"/>
  <c r="R28" i="18"/>
  <c r="R27" i="18"/>
  <c r="R26" i="18"/>
  <c r="R23" i="18"/>
  <c r="Q30" i="17"/>
  <c r="R25" i="17" s="1"/>
  <c r="K32" i="17"/>
  <c r="L32" i="17"/>
  <c r="C32" i="17"/>
  <c r="J32" i="17"/>
  <c r="C38" i="17"/>
  <c r="I32" i="17"/>
  <c r="Q17" i="17"/>
  <c r="N32" i="17"/>
  <c r="C39" i="17"/>
  <c r="E32" i="17"/>
  <c r="M32" i="17"/>
  <c r="F32" i="17"/>
  <c r="G32" i="17"/>
  <c r="O32" i="17"/>
  <c r="C40" i="17"/>
  <c r="Q22" i="17"/>
  <c r="U22" i="17" s="1"/>
  <c r="H32" i="17"/>
  <c r="P32" i="17"/>
  <c r="D32" i="17"/>
  <c r="Q12" i="17"/>
  <c r="U10" i="17" s="1"/>
  <c r="Q7" i="17"/>
  <c r="B32" i="17"/>
  <c r="P31" i="16"/>
  <c r="O31" i="16"/>
  <c r="N31" i="16"/>
  <c r="Q16" i="16"/>
  <c r="M31" i="16"/>
  <c r="L31" i="16"/>
  <c r="K31" i="16"/>
  <c r="J31" i="16"/>
  <c r="I31" i="16"/>
  <c r="H31" i="16"/>
  <c r="G31" i="16"/>
  <c r="Q21" i="16"/>
  <c r="Q7" i="16"/>
  <c r="F31" i="16"/>
  <c r="Q11" i="16"/>
  <c r="E31" i="16"/>
  <c r="D31" i="16"/>
  <c r="C31" i="16"/>
  <c r="B31" i="16"/>
  <c r="C41" i="17"/>
  <c r="Q29" i="16"/>
  <c r="R23" i="16" s="1"/>
  <c r="C37" i="16"/>
  <c r="C38" i="16"/>
  <c r="C39" i="16"/>
  <c r="C40" i="16"/>
  <c r="Q29" i="15"/>
  <c r="R26" i="15" s="1"/>
  <c r="C37" i="15"/>
  <c r="R25" i="15"/>
  <c r="C38" i="15"/>
  <c r="C39" i="15"/>
  <c r="C40" i="15"/>
  <c r="P31" i="15"/>
  <c r="O31" i="15"/>
  <c r="N31" i="15"/>
  <c r="M31" i="15"/>
  <c r="L31" i="15"/>
  <c r="K31" i="15"/>
  <c r="J31" i="15"/>
  <c r="I31" i="15"/>
  <c r="H31" i="15"/>
  <c r="Q16" i="15"/>
  <c r="G31" i="15"/>
  <c r="F31" i="15"/>
  <c r="Q7" i="15"/>
  <c r="E31" i="15"/>
  <c r="D31" i="15"/>
  <c r="Q21" i="15"/>
  <c r="Q11" i="15"/>
  <c r="C31" i="15"/>
  <c r="B31" i="15"/>
  <c r="Q30" i="14"/>
  <c r="R29" i="14" s="1"/>
  <c r="O32" i="14"/>
  <c r="P32" i="14"/>
  <c r="L32" i="14"/>
  <c r="M32" i="14"/>
  <c r="K32" i="14"/>
  <c r="N32" i="14"/>
  <c r="J32" i="14"/>
  <c r="Q16" i="14"/>
  <c r="I32" i="14"/>
  <c r="H32" i="14"/>
  <c r="Q22" i="14"/>
  <c r="Q11" i="14"/>
  <c r="Q7" i="14"/>
  <c r="G32" i="14"/>
  <c r="F32" i="14"/>
  <c r="E32" i="14"/>
  <c r="D32" i="14"/>
  <c r="C32" i="14"/>
  <c r="B32" i="14"/>
  <c r="R26" i="14"/>
  <c r="R27" i="14"/>
  <c r="R28" i="14"/>
  <c r="R25" i="14"/>
  <c r="C38" i="14"/>
  <c r="C39" i="14"/>
  <c r="C40" i="14"/>
  <c r="C41" i="14"/>
  <c r="C38" i="13"/>
  <c r="C39" i="13"/>
  <c r="K32" i="13"/>
  <c r="L32" i="13"/>
  <c r="M32" i="13"/>
  <c r="O32" i="13"/>
  <c r="P32" i="13"/>
  <c r="C40" i="13"/>
  <c r="C41" i="13"/>
  <c r="Q22" i="13"/>
  <c r="N32" i="13"/>
  <c r="J32" i="13"/>
  <c r="Q7" i="13"/>
  <c r="I32" i="13"/>
  <c r="H32" i="13"/>
  <c r="G32" i="13"/>
  <c r="Q16" i="13"/>
  <c r="F32" i="13"/>
  <c r="Q11" i="13"/>
  <c r="E32" i="13"/>
  <c r="D32" i="13"/>
  <c r="C32" i="13"/>
  <c r="B32" i="13"/>
  <c r="Q30" i="13"/>
  <c r="R28" i="13" s="1"/>
  <c r="B42" i="12"/>
  <c r="C42" i="12" s="1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Q29" i="12"/>
  <c r="Q28" i="12"/>
  <c r="Q27" i="12"/>
  <c r="Q26" i="12"/>
  <c r="Q25" i="12"/>
  <c r="Q24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B41" i="2"/>
  <c r="C41" i="2" s="1"/>
  <c r="B2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B4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Q28" i="11"/>
  <c r="Q27" i="11"/>
  <c r="Q26" i="11"/>
  <c r="Q25" i="11"/>
  <c r="Q24" i="11"/>
  <c r="Q23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Q27" i="2"/>
  <c r="Q26" i="2"/>
  <c r="Q25" i="2"/>
  <c r="Q24" i="2"/>
  <c r="Q23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Q19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B31" i="2" s="1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B11" i="10"/>
  <c r="B41" i="10"/>
  <c r="C41" i="10" s="1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Q28" i="10"/>
  <c r="Q27" i="10"/>
  <c r="Q26" i="10"/>
  <c r="Q25" i="10"/>
  <c r="Q24" i="10"/>
  <c r="Q23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R27" i="17" l="1"/>
  <c r="R29" i="17"/>
  <c r="R28" i="17"/>
  <c r="R26" i="17"/>
  <c r="R24" i="17"/>
  <c r="Q32" i="17"/>
  <c r="R24" i="15"/>
  <c r="R28" i="15"/>
  <c r="R27" i="15"/>
  <c r="R23" i="15"/>
  <c r="Q31" i="16"/>
  <c r="R24" i="16"/>
  <c r="R28" i="16"/>
  <c r="R26" i="16"/>
  <c r="R25" i="16"/>
  <c r="R27" i="16"/>
  <c r="Q31" i="15"/>
  <c r="R24" i="14"/>
  <c r="Q32" i="14"/>
  <c r="Q32" i="13"/>
  <c r="R25" i="13"/>
  <c r="R24" i="13"/>
  <c r="R26" i="13"/>
  <c r="R27" i="13"/>
  <c r="R29" i="13"/>
  <c r="E32" i="12"/>
  <c r="Q30" i="12"/>
  <c r="R29" i="12" s="1"/>
  <c r="C39" i="12"/>
  <c r="C40" i="12"/>
  <c r="C41" i="12"/>
  <c r="P32" i="12"/>
  <c r="G32" i="12"/>
  <c r="C38" i="12"/>
  <c r="O32" i="12"/>
  <c r="N32" i="12"/>
  <c r="Q16" i="12"/>
  <c r="M32" i="12"/>
  <c r="L32" i="12"/>
  <c r="K32" i="12"/>
  <c r="J32" i="12"/>
  <c r="I32" i="12"/>
  <c r="H32" i="12"/>
  <c r="F32" i="12"/>
  <c r="D32" i="12"/>
  <c r="Q22" i="12"/>
  <c r="U23" i="12" s="1"/>
  <c r="Q7" i="12"/>
  <c r="Q11" i="12"/>
  <c r="C32" i="12"/>
  <c r="B32" i="12"/>
  <c r="C41" i="11"/>
  <c r="C37" i="11"/>
  <c r="C40" i="11"/>
  <c r="C39" i="11"/>
  <c r="C38" i="11"/>
  <c r="Q16" i="11"/>
  <c r="Q21" i="11"/>
  <c r="B31" i="11"/>
  <c r="Q11" i="11"/>
  <c r="Q7" i="11"/>
  <c r="Q29" i="11"/>
  <c r="Q21" i="2"/>
  <c r="Q16" i="2"/>
  <c r="Q11" i="2"/>
  <c r="Q7" i="2"/>
  <c r="Q29" i="2"/>
  <c r="R24" i="2" s="1"/>
  <c r="C37" i="2"/>
  <c r="C38" i="2"/>
  <c r="C39" i="2"/>
  <c r="C40" i="2"/>
  <c r="Q29" i="10"/>
  <c r="R25" i="10" s="1"/>
  <c r="O31" i="10"/>
  <c r="M31" i="10"/>
  <c r="K31" i="10"/>
  <c r="I31" i="10"/>
  <c r="G31" i="10"/>
  <c r="Q7" i="10"/>
  <c r="E31" i="10"/>
  <c r="D31" i="10"/>
  <c r="H31" i="10"/>
  <c r="P31" i="10"/>
  <c r="J31" i="10"/>
  <c r="L31" i="10"/>
  <c r="F31" i="10"/>
  <c r="N31" i="10"/>
  <c r="Q21" i="10"/>
  <c r="Q16" i="10"/>
  <c r="C31" i="10"/>
  <c r="B31" i="10"/>
  <c r="C37" i="10"/>
  <c r="C38" i="10"/>
  <c r="C39" i="10"/>
  <c r="C40" i="10"/>
  <c r="R27" i="12" l="1"/>
  <c r="R28" i="12"/>
  <c r="R26" i="12"/>
  <c r="R25" i="12"/>
  <c r="R24" i="12"/>
  <c r="Q32" i="12"/>
  <c r="Q31" i="11"/>
  <c r="R27" i="11"/>
  <c r="R23" i="11"/>
  <c r="R28" i="11"/>
  <c r="R26" i="11"/>
  <c r="R25" i="11"/>
  <c r="R24" i="11"/>
  <c r="Q31" i="2"/>
  <c r="R28" i="2"/>
  <c r="R27" i="2"/>
  <c r="R23" i="2"/>
  <c r="R25" i="2"/>
  <c r="R26" i="2"/>
  <c r="R24" i="10"/>
  <c r="R27" i="10"/>
  <c r="R26" i="10"/>
  <c r="R28" i="10"/>
  <c r="R23" i="10"/>
  <c r="Q3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<sst xmlns="http://schemas.openxmlformats.org/spreadsheetml/2006/main" count="1254" uniqueCount="125">
  <si>
    <t xml:space="preserve">% total </t>
  </si>
  <si>
    <t xml:space="preserve">Sphagnum leaf remains </t>
  </si>
  <si>
    <t>Sphagnum</t>
  </si>
  <si>
    <t xml:space="preserve">Acutifolia </t>
  </si>
  <si>
    <t xml:space="preserve">Cuspidata </t>
  </si>
  <si>
    <t xml:space="preserve">Subsecunda </t>
  </si>
  <si>
    <t>Woody plants</t>
  </si>
  <si>
    <t>Total</t>
  </si>
  <si>
    <t>Vascular plants</t>
  </si>
  <si>
    <t>Unidentifed OM</t>
  </si>
  <si>
    <t>Charcoal</t>
  </si>
  <si>
    <t xml:space="preserve">Quadrat total </t>
  </si>
  <si>
    <t xml:space="preserve">Sphagnum leave count </t>
  </si>
  <si>
    <t xml:space="preserve">total </t>
  </si>
  <si>
    <t xml:space="preserve">fungal spores </t>
  </si>
  <si>
    <t>Depth:</t>
  </si>
  <si>
    <t>%</t>
  </si>
  <si>
    <t>Abs</t>
  </si>
  <si>
    <t>&lt;0.5 mm</t>
  </si>
  <si>
    <t>0.5 – 1 mm</t>
  </si>
  <si>
    <t>1 - 1.5 mm</t>
  </si>
  <si>
    <t>1.5 – 2 mm</t>
  </si>
  <si>
    <t>2 - 2.5 mm</t>
  </si>
  <si>
    <t>&gt;2.0 mm</t>
  </si>
  <si>
    <t xml:space="preserve">Abs no. </t>
  </si>
  <si>
    <t>Top Depth (cm)</t>
  </si>
  <si>
    <t>Fruits/seeds</t>
  </si>
  <si>
    <t>Depth: 9-10 cm</t>
  </si>
  <si>
    <t xml:space="preserve">Checklist: </t>
  </si>
  <si>
    <t xml:space="preserve">% count </t>
  </si>
  <si>
    <t xml:space="preserve">Charcoal count </t>
  </si>
  <si>
    <t xml:space="preserve">Sphagnum leaf count </t>
  </si>
  <si>
    <t>Yes</t>
  </si>
  <si>
    <t>No</t>
  </si>
  <si>
    <t xml:space="preserve">rootlets </t>
  </si>
  <si>
    <t>Depth: 19-20 cm</t>
  </si>
  <si>
    <t>added to MF</t>
  </si>
  <si>
    <t>Used most updated Mf template</t>
  </si>
  <si>
    <t>% abundance</t>
  </si>
  <si>
    <t>Abs count</t>
  </si>
  <si>
    <t>yes</t>
  </si>
  <si>
    <t xml:space="preserve">once all finished </t>
  </si>
  <si>
    <t xml:space="preserve">sum </t>
  </si>
  <si>
    <t>Depth: 29-30 cm</t>
  </si>
  <si>
    <t xml:space="preserve">redo woody plant group </t>
  </si>
  <si>
    <t>done</t>
  </si>
  <si>
    <t>Depth: 50-51 cm</t>
  </si>
  <si>
    <t>ericae rootlets</t>
  </si>
  <si>
    <t>redo</t>
  </si>
  <si>
    <t>in progress</t>
  </si>
  <si>
    <t>Depth: 59-60 cm</t>
  </si>
  <si>
    <t xml:space="preserve">Depth: 69-70 cm </t>
  </si>
  <si>
    <t xml:space="preserve">rhizome </t>
  </si>
  <si>
    <t xml:space="preserve">notes: </t>
  </si>
  <si>
    <t>Mychrorizal roots present</t>
  </si>
  <si>
    <t>Carex seed?</t>
  </si>
  <si>
    <t>Empetrum nigrum/ Erica tetralix leaf</t>
  </si>
  <si>
    <t xml:space="preserve">Leaf tip </t>
  </si>
  <si>
    <t>Depth: 79-80 cm</t>
  </si>
  <si>
    <t xml:space="preserve">note </t>
  </si>
  <si>
    <t>Leaf tip/ bud</t>
  </si>
  <si>
    <t>Sedge/ grass head/tip</t>
  </si>
  <si>
    <t xml:space="preserve">floret/ sdege bud </t>
  </si>
  <si>
    <t>leaf tip?</t>
  </si>
  <si>
    <t>Depth: 100-101 cm</t>
  </si>
  <si>
    <t>irrides shell</t>
  </si>
  <si>
    <t>leaf bud/ tip</t>
  </si>
  <si>
    <t>weird insect body thing</t>
  </si>
  <si>
    <t>lots of seeds</t>
  </si>
  <si>
    <t>note</t>
  </si>
  <si>
    <t>Depth: 109-110 cm</t>
  </si>
  <si>
    <t xml:space="preserve">Depth: 129-130 cm </t>
  </si>
  <si>
    <t>Empetrum/ Erica  leaf tip</t>
  </si>
  <si>
    <t>unknown leaf (woody?)</t>
  </si>
  <si>
    <t xml:space="preserve">method </t>
  </si>
  <si>
    <t xml:space="preserve">glass dish </t>
  </si>
  <si>
    <t>Depth: 149-150 cm</t>
  </si>
  <si>
    <t xml:space="preserve">Glass dish </t>
  </si>
  <si>
    <t xml:space="preserve">Method </t>
  </si>
  <si>
    <t xml:space="preserve">All sphagnum found is the same species </t>
  </si>
  <si>
    <t>linear in shape, eroded apex</t>
  </si>
  <si>
    <t>markedly concave</t>
  </si>
  <si>
    <t>Depth: 39-40 cm</t>
  </si>
  <si>
    <t>Leaf tip (woody)</t>
  </si>
  <si>
    <t>Depth: 89-90 cm</t>
  </si>
  <si>
    <t>Depth: 139-140 cm</t>
  </si>
  <si>
    <t>Leaf/ leaf tip (woody)</t>
  </si>
  <si>
    <t>&gt;2.5 mm</t>
  </si>
  <si>
    <t xml:space="preserve">Total </t>
  </si>
  <si>
    <t>Sedge/ grass head tip</t>
  </si>
  <si>
    <t>Results code:</t>
  </si>
  <si>
    <t>sphagnum medium</t>
  </si>
  <si>
    <t xml:space="preserve">Sphagnum affini </t>
  </si>
  <si>
    <t>total</t>
  </si>
  <si>
    <t>Sphagnum subnitens</t>
  </si>
  <si>
    <t xml:space="preserve">Sphagnum rubellum </t>
  </si>
  <si>
    <t>Unidentified OM Total</t>
  </si>
  <si>
    <t>Vascular plants Total</t>
  </si>
  <si>
    <t>Woody plants Total</t>
  </si>
  <si>
    <t>identifiable sphagnum Total</t>
  </si>
  <si>
    <t xml:space="preserve">Depth </t>
  </si>
  <si>
    <t>AgeBP</t>
  </si>
  <si>
    <t>S. Acutifolia</t>
  </si>
  <si>
    <t>S. Sphagnum</t>
  </si>
  <si>
    <t>S. Cuspidata</t>
  </si>
  <si>
    <t>S. Subsecunda</t>
  </si>
  <si>
    <t xml:space="preserve">Sphagnum cuspidatum </t>
  </si>
  <si>
    <t xml:space="preserve">Sphagnum augustfolium </t>
  </si>
  <si>
    <t>Notes</t>
  </si>
  <si>
    <t xml:space="preserve"> wrightanium was found </t>
  </si>
  <si>
    <t>Along with a discoides</t>
  </si>
  <si>
    <t>Sphagnum rubellum</t>
  </si>
  <si>
    <t>Sphagnum austinii</t>
  </si>
  <si>
    <t>Sphagnum magellanicum</t>
  </si>
  <si>
    <t>Sphagnum papillosum</t>
  </si>
  <si>
    <t>Sphagnum Capifollium</t>
  </si>
  <si>
    <t>Sphagnum girgensohnii</t>
  </si>
  <si>
    <t>Sphagnum russowii</t>
  </si>
  <si>
    <t xml:space="preserve">Sphagnum auriculatum </t>
  </si>
  <si>
    <t xml:space="preserve">Sphagnum quinquefarium </t>
  </si>
  <si>
    <t>Acutifolia</t>
  </si>
  <si>
    <t>Sphagnum capifollium</t>
  </si>
  <si>
    <t xml:space="preserve">Sphagnum subnitens </t>
  </si>
  <si>
    <t xml:space="preserve">Sphagnum papillosum </t>
  </si>
  <si>
    <t xml:space="preserve">Sphagnum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</si>
</sst>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2" xfId="0" applyFont="1" applyBorder="1"/>
    <xf numFmtId="0" fontId="1" fillId="0" borderId="1" xfId="0" applyFont="1" applyBorder="1"/>
    <xf numFmtId="0" fontId="1" fillId="2" borderId="5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7" xfId="0" applyFont="1" applyBorder="1"/>
    <xf numFmtId="0" fontId="4" fillId="0" borderId="4" xfId="0" applyFont="1" applyBorder="1"/>
    <xf numFmtId="0" fontId="4" fillId="0" borderId="0" xfId="0" applyFont="1"/>
    <xf numFmtId="0" fontId="0" fillId="3" borderId="0" xfId="0" applyFill="1"/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6" fillId="0" borderId="2" xfId="0" applyFont="1" applyBorder="1"/>
    <xf numFmtId="0" fontId="7" fillId="0" borderId="0" xfId="0" applyFont="1"/>
    <xf numFmtId="0" fontId="8" fillId="0" borderId="0" xfId="0" applyFont="1"/>
    <xf numFmtId="0" fontId="4" fillId="0" borderId="7" xfId="0" applyFont="1" applyBorder="1"/>
    <xf numFmtId="0" fontId="4" fillId="0" borderId="3" xfId="0" applyFont="1" applyBorder="1"/>
    <xf numFmtId="0" fontId="9" fillId="0" borderId="2" xfId="0" applyFont="1" applyBorder="1"/>
    <xf numFmtId="0" fontId="4" fillId="5" borderId="5" xfId="0" applyFont="1" applyFill="1" applyBorder="1"/>
    <xf numFmtId="0" fontId="4" fillId="0" borderId="5" xfId="0" applyFont="1" applyBorder="1"/>
    <xf numFmtId="0" fontId="4" fillId="0" borderId="1" xfId="0" applyFont="1" applyBorder="1"/>
    <xf numFmtId="0" fontId="5" fillId="6" borderId="1" xfId="0" applyFont="1" applyFill="1" applyBorder="1"/>
    <xf numFmtId="0" fontId="4" fillId="0" borderId="6" xfId="0" applyFont="1" applyBorder="1"/>
    <xf numFmtId="2" fontId="5" fillId="6" borderId="1" xfId="0" applyNumberFormat="1" applyFont="1" applyFill="1" applyBorder="1"/>
    <xf numFmtId="2" fontId="4" fillId="5" borderId="5" xfId="0" applyNumberFormat="1" applyFont="1" applyFill="1" applyBorder="1"/>
    <xf numFmtId="2" fontId="7" fillId="0" borderId="0" xfId="0" applyNumberFormat="1" applyFont="1"/>
    <xf numFmtId="2" fontId="9" fillId="0" borderId="2" xfId="0" applyNumberFormat="1" applyFont="1" applyBorder="1"/>
    <xf numFmtId="2" fontId="8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6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141E-8506-FB44-B231-87376881C24F}">
  <dimension ref="A1:P14"/>
  <sheetViews>
    <sheetView workbookViewId="0">
      <selection activeCell="G1" sqref="G1"/>
    </sheetView>
  </sheetViews>
  <sheetFormatPr baseColWidth="10" defaultColWidth="11" defaultRowHeight="16" x14ac:dyDescent="0.2"/>
  <cols>
    <col min="1" max="1" width="27" bestFit="1" customWidth="1"/>
  </cols>
  <sheetData>
    <row r="1" spans="1:16" x14ac:dyDescent="0.2">
      <c r="A1" t="s">
        <v>28</v>
      </c>
      <c r="B1" s="18">
        <v>9</v>
      </c>
      <c r="C1" s="18">
        <v>19</v>
      </c>
      <c r="D1" s="18">
        <v>29</v>
      </c>
      <c r="E1" s="18">
        <v>39</v>
      </c>
      <c r="F1" s="16">
        <v>50</v>
      </c>
      <c r="G1" s="17">
        <v>59</v>
      </c>
      <c r="H1" s="1">
        <v>69</v>
      </c>
      <c r="I1" s="1">
        <v>79</v>
      </c>
      <c r="J1" s="1">
        <v>89</v>
      </c>
      <c r="K1" s="1">
        <v>100</v>
      </c>
      <c r="L1" s="1">
        <v>109</v>
      </c>
      <c r="M1" s="1">
        <v>119</v>
      </c>
      <c r="N1" s="1">
        <v>129</v>
      </c>
      <c r="O1" s="1">
        <v>139</v>
      </c>
      <c r="P1" s="1">
        <v>149</v>
      </c>
    </row>
    <row r="2" spans="1:16" x14ac:dyDescent="0.2">
      <c r="A2" t="s">
        <v>29</v>
      </c>
      <c r="B2" t="s">
        <v>32</v>
      </c>
      <c r="C2" t="s">
        <v>40</v>
      </c>
      <c r="D2" t="s">
        <v>40</v>
      </c>
    </row>
    <row r="3" spans="1:16" x14ac:dyDescent="0.2">
      <c r="A3" t="s">
        <v>30</v>
      </c>
      <c r="B3" t="s">
        <v>32</v>
      </c>
      <c r="C3" t="s">
        <v>40</v>
      </c>
      <c r="D3" t="s">
        <v>40</v>
      </c>
    </row>
    <row r="4" spans="1:16" x14ac:dyDescent="0.2">
      <c r="A4" t="s">
        <v>31</v>
      </c>
      <c r="B4" t="s">
        <v>33</v>
      </c>
      <c r="C4" t="s">
        <v>40</v>
      </c>
      <c r="D4" t="s">
        <v>40</v>
      </c>
    </row>
    <row r="5" spans="1:16" x14ac:dyDescent="0.2">
      <c r="A5" t="s">
        <v>36</v>
      </c>
      <c r="B5" t="s">
        <v>41</v>
      </c>
    </row>
    <row r="6" spans="1:16" x14ac:dyDescent="0.2">
      <c r="A6" t="s">
        <v>37</v>
      </c>
    </row>
    <row r="9" spans="1:16" x14ac:dyDescent="0.2">
      <c r="A9" t="s">
        <v>44</v>
      </c>
      <c r="B9" t="s">
        <v>40</v>
      </c>
      <c r="C9" t="s">
        <v>40</v>
      </c>
      <c r="D9" t="s">
        <v>45</v>
      </c>
      <c r="E9" t="s">
        <v>40</v>
      </c>
      <c r="J9" t="s">
        <v>40</v>
      </c>
      <c r="O9" t="s">
        <v>40</v>
      </c>
    </row>
    <row r="12" spans="1:16" x14ac:dyDescent="0.2">
      <c r="A12" s="13"/>
      <c r="B12" t="s">
        <v>48</v>
      </c>
    </row>
    <row r="13" spans="1:16" x14ac:dyDescent="0.2">
      <c r="A13" s="14"/>
      <c r="B13" t="s">
        <v>49</v>
      </c>
    </row>
    <row r="14" spans="1:16" x14ac:dyDescent="0.2">
      <c r="A14" s="15"/>
      <c r="B14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C212-EB1A-6842-AF13-136111CFD109}">
  <dimension ref="A1:R44"/>
  <sheetViews>
    <sheetView topLeftCell="A9" zoomScale="75" workbookViewId="0">
      <pane xSplit="1" topLeftCell="B1" activePane="topRight" state="frozen"/>
      <selection pane="topRight" activeCell="C51" sqref="C51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</cols>
  <sheetData>
    <row r="1" spans="1:18" x14ac:dyDescent="0.2">
      <c r="A1" s="4" t="s">
        <v>15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</row>
    <row r="2" spans="1:18" x14ac:dyDescent="0.2">
      <c r="A2" s="1" t="s">
        <v>1</v>
      </c>
      <c r="Q2" s="8"/>
    </row>
    <row r="3" spans="1:18" x14ac:dyDescent="0.2">
      <c r="Q3" s="9"/>
    </row>
    <row r="4" spans="1:18" x14ac:dyDescent="0.2">
      <c r="Q4" s="9"/>
    </row>
    <row r="5" spans="1:18" x14ac:dyDescent="0.2">
      <c r="Q5" s="9"/>
    </row>
    <row r="6" spans="1:18" x14ac:dyDescent="0.2">
      <c r="Q6" s="9"/>
    </row>
    <row r="7" spans="1:18" s="2" customFormat="1" x14ac:dyDescent="0.2">
      <c r="A7" s="3" t="s">
        <v>7</v>
      </c>
      <c r="B7" s="3">
        <f>(B2+B3)</f>
        <v>0</v>
      </c>
      <c r="C7" s="3">
        <f t="shared" ref="C7:P7" si="0">(C2+C3)</f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5">
        <f>AVERAGE(B7:P7)</f>
        <v>0</v>
      </c>
      <c r="R7" s="2" t="s">
        <v>16</v>
      </c>
    </row>
    <row r="8" spans="1:18" x14ac:dyDescent="0.2">
      <c r="A8" s="1" t="s">
        <v>6</v>
      </c>
      <c r="Q8" s="9"/>
    </row>
    <row r="9" spans="1:18" x14ac:dyDescent="0.2">
      <c r="A9" t="s">
        <v>34</v>
      </c>
      <c r="Q9" s="9"/>
    </row>
    <row r="10" spans="1:18" x14ac:dyDescent="0.2">
      <c r="A10" t="s">
        <v>47</v>
      </c>
      <c r="Q10" s="9"/>
    </row>
    <row r="11" spans="1:18" s="2" customFormat="1" x14ac:dyDescent="0.2">
      <c r="A11" s="3" t="s">
        <v>7</v>
      </c>
      <c r="B11" s="3">
        <f>(B8+B9+B10)</f>
        <v>0</v>
      </c>
      <c r="C11" s="3">
        <f t="shared" ref="C11:P11" si="1">(C8+C9+C10)</f>
        <v>0</v>
      </c>
      <c r="D11" s="3">
        <f t="shared" si="1"/>
        <v>0</v>
      </c>
      <c r="E11" s="3">
        <f t="shared" si="1"/>
        <v>0</v>
      </c>
      <c r="F11" s="3">
        <f t="shared" si="1"/>
        <v>0</v>
      </c>
      <c r="G11" s="3">
        <f t="shared" si="1"/>
        <v>0</v>
      </c>
      <c r="H11" s="3">
        <f t="shared" si="1"/>
        <v>0</v>
      </c>
      <c r="I11" s="3">
        <f t="shared" si="1"/>
        <v>0</v>
      </c>
      <c r="J11" s="3">
        <f t="shared" si="1"/>
        <v>0</v>
      </c>
      <c r="K11" s="3">
        <f t="shared" si="1"/>
        <v>0</v>
      </c>
      <c r="L11" s="3">
        <f t="shared" si="1"/>
        <v>0</v>
      </c>
      <c r="M11" s="3">
        <f t="shared" si="1"/>
        <v>0</v>
      </c>
      <c r="N11" s="3">
        <f t="shared" si="1"/>
        <v>0</v>
      </c>
      <c r="O11" s="3">
        <f t="shared" si="1"/>
        <v>0</v>
      </c>
      <c r="P11" s="3">
        <f t="shared" si="1"/>
        <v>0</v>
      </c>
      <c r="Q11" s="5">
        <f>AVERAGE(B11:P11)</f>
        <v>0</v>
      </c>
      <c r="R11" s="2" t="s">
        <v>16</v>
      </c>
    </row>
    <row r="12" spans="1:18" x14ac:dyDescent="0.2">
      <c r="A12" s="1" t="s">
        <v>8</v>
      </c>
      <c r="Q12" s="9"/>
    </row>
    <row r="13" spans="1:18" x14ac:dyDescent="0.2">
      <c r="A13" s="1"/>
      <c r="Q13" s="9"/>
    </row>
    <row r="14" spans="1:18" x14ac:dyDescent="0.2">
      <c r="A14" s="1"/>
      <c r="Q14" s="9"/>
    </row>
    <row r="15" spans="1:18" x14ac:dyDescent="0.2">
      <c r="Q15" s="9"/>
    </row>
    <row r="16" spans="1:18" s="2" customFormat="1" x14ac:dyDescent="0.2">
      <c r="A16" s="3" t="s">
        <v>7</v>
      </c>
      <c r="B16" s="3">
        <f>(B12)</f>
        <v>0</v>
      </c>
      <c r="C16" s="3">
        <f t="shared" ref="C16:P16" si="2">(C12)</f>
        <v>0</v>
      </c>
      <c r="D16" s="3">
        <f t="shared" si="2"/>
        <v>0</v>
      </c>
      <c r="E16" s="3">
        <f t="shared" si="2"/>
        <v>0</v>
      </c>
      <c r="F16" s="3">
        <f t="shared" si="2"/>
        <v>0</v>
      </c>
      <c r="G16" s="3">
        <f t="shared" si="2"/>
        <v>0</v>
      </c>
      <c r="H16" s="3">
        <f t="shared" si="2"/>
        <v>0</v>
      </c>
      <c r="I16" s="3">
        <f t="shared" si="2"/>
        <v>0</v>
      </c>
      <c r="J16" s="3">
        <f>(J12)</f>
        <v>0</v>
      </c>
      <c r="K16" s="3">
        <f t="shared" si="2"/>
        <v>0</v>
      </c>
      <c r="L16" s="3">
        <f t="shared" si="2"/>
        <v>0</v>
      </c>
      <c r="M16" s="3">
        <f t="shared" si="2"/>
        <v>0</v>
      </c>
      <c r="N16" s="3">
        <f t="shared" si="2"/>
        <v>0</v>
      </c>
      <c r="O16" s="3">
        <f t="shared" si="2"/>
        <v>0</v>
      </c>
      <c r="P16" s="3">
        <f t="shared" si="2"/>
        <v>0</v>
      </c>
      <c r="Q16" s="5">
        <f>AVERAGE(B16:P16)</f>
        <v>0</v>
      </c>
      <c r="R16" s="2" t="s">
        <v>16</v>
      </c>
    </row>
    <row r="17" spans="1:18" x14ac:dyDescent="0.2">
      <c r="A17" s="1" t="s">
        <v>9</v>
      </c>
      <c r="Q17" s="9"/>
    </row>
    <row r="18" spans="1:18" x14ac:dyDescent="0.2">
      <c r="A18" s="2" t="s">
        <v>14</v>
      </c>
      <c r="Q18" s="9"/>
    </row>
    <row r="19" spans="1:18" x14ac:dyDescent="0.2">
      <c r="A19" t="s">
        <v>26</v>
      </c>
      <c r="Q19" s="9">
        <f>SUM(B19:P19)</f>
        <v>0</v>
      </c>
      <c r="R19" t="s">
        <v>42</v>
      </c>
    </row>
    <row r="20" spans="1:18" x14ac:dyDescent="0.2">
      <c r="Q20" s="9"/>
    </row>
    <row r="21" spans="1:18" s="2" customFormat="1" x14ac:dyDescent="0.2">
      <c r="A21" s="3" t="s">
        <v>7</v>
      </c>
      <c r="B21" s="3">
        <f>(B17+B18)</f>
        <v>0</v>
      </c>
      <c r="C21" s="3">
        <f t="shared" ref="C21:P21" si="3">(C17+C18)</f>
        <v>0</v>
      </c>
      <c r="D21" s="3">
        <f t="shared" si="3"/>
        <v>0</v>
      </c>
      <c r="E21" s="3">
        <f t="shared" si="3"/>
        <v>0</v>
      </c>
      <c r="F21" s="3">
        <f t="shared" si="3"/>
        <v>0</v>
      </c>
      <c r="G21" s="3">
        <f t="shared" si="3"/>
        <v>0</v>
      </c>
      <c r="H21" s="3">
        <f t="shared" si="3"/>
        <v>0</v>
      </c>
      <c r="I21" s="3">
        <f t="shared" si="3"/>
        <v>0</v>
      </c>
      <c r="J21" s="3">
        <f t="shared" si="3"/>
        <v>0</v>
      </c>
      <c r="K21" s="3">
        <f t="shared" si="3"/>
        <v>0</v>
      </c>
      <c r="L21" s="3">
        <f t="shared" si="3"/>
        <v>0</v>
      </c>
      <c r="M21" s="3">
        <f t="shared" si="3"/>
        <v>0</v>
      </c>
      <c r="N21" s="3">
        <f t="shared" si="3"/>
        <v>0</v>
      </c>
      <c r="O21" s="3">
        <f t="shared" si="3"/>
        <v>0</v>
      </c>
      <c r="P21" s="3">
        <f t="shared" si="3"/>
        <v>0</v>
      </c>
      <c r="Q21" s="5">
        <f>AVERAGE(B21:P21)</f>
        <v>0</v>
      </c>
      <c r="R21" s="2" t="s">
        <v>16</v>
      </c>
    </row>
    <row r="22" spans="1:18" x14ac:dyDescent="0.2">
      <c r="A22" s="1" t="s">
        <v>10</v>
      </c>
      <c r="Q22" s="11" t="s">
        <v>39</v>
      </c>
      <c r="R22" s="12" t="s">
        <v>38</v>
      </c>
    </row>
    <row r="23" spans="1:18" x14ac:dyDescent="0.2">
      <c r="A23" s="2" t="s">
        <v>18</v>
      </c>
      <c r="Q23" s="9">
        <f>SUM(B23:P23)</f>
        <v>0</v>
      </c>
      <c r="R23" t="e">
        <f>Q23/Q$29*100</f>
        <v>#DIV/0!</v>
      </c>
    </row>
    <row r="24" spans="1:18" x14ac:dyDescent="0.2">
      <c r="A24" s="2" t="s">
        <v>19</v>
      </c>
      <c r="Q24" s="9">
        <f t="shared" ref="Q24:Q27" si="4">SUM(B24:P24)</f>
        <v>0</v>
      </c>
      <c r="R24" t="e">
        <f t="shared" ref="R24:R28" si="5">Q24/Q$29*100</f>
        <v>#DIV/0!</v>
      </c>
    </row>
    <row r="25" spans="1:18" x14ac:dyDescent="0.2">
      <c r="A25" s="2" t="s">
        <v>20</v>
      </c>
      <c r="Q25" s="9">
        <f t="shared" si="4"/>
        <v>0</v>
      </c>
      <c r="R25" t="e">
        <f t="shared" si="5"/>
        <v>#DIV/0!</v>
      </c>
    </row>
    <row r="26" spans="1:18" x14ac:dyDescent="0.2">
      <c r="A26" s="2" t="s">
        <v>21</v>
      </c>
      <c r="Q26" s="9">
        <f t="shared" si="4"/>
        <v>0</v>
      </c>
      <c r="R26" t="e">
        <f t="shared" si="5"/>
        <v>#DIV/0!</v>
      </c>
    </row>
    <row r="27" spans="1:18" x14ac:dyDescent="0.2">
      <c r="A27" s="2" t="s">
        <v>22</v>
      </c>
      <c r="Q27" s="9">
        <f t="shared" si="4"/>
        <v>0</v>
      </c>
      <c r="R27" t="e">
        <f t="shared" si="5"/>
        <v>#DIV/0!</v>
      </c>
    </row>
    <row r="28" spans="1:18" x14ac:dyDescent="0.2">
      <c r="A28" s="2" t="s">
        <v>23</v>
      </c>
      <c r="Q28" s="9">
        <f>SUM(B28:P28)</f>
        <v>0</v>
      </c>
      <c r="R28" t="e">
        <f t="shared" si="5"/>
        <v>#DIV/0!</v>
      </c>
    </row>
    <row r="29" spans="1:18" s="2" customFormat="1" x14ac:dyDescent="0.2">
      <c r="A29" s="3" t="s">
        <v>7</v>
      </c>
      <c r="B29" s="3">
        <f t="shared" ref="B29:P29" si="6">(B22)</f>
        <v>0</v>
      </c>
      <c r="C29" s="3">
        <f t="shared" si="6"/>
        <v>0</v>
      </c>
      <c r="D29" s="3">
        <f t="shared" si="6"/>
        <v>0</v>
      </c>
      <c r="E29" s="3">
        <f t="shared" si="6"/>
        <v>0</v>
      </c>
      <c r="F29" s="3">
        <f t="shared" si="6"/>
        <v>0</v>
      </c>
      <c r="G29" s="3">
        <f t="shared" si="6"/>
        <v>0</v>
      </c>
      <c r="H29" s="3">
        <f t="shared" si="6"/>
        <v>0</v>
      </c>
      <c r="I29" s="3">
        <f t="shared" si="6"/>
        <v>0</v>
      </c>
      <c r="J29" s="3">
        <f t="shared" si="6"/>
        <v>0</v>
      </c>
      <c r="K29" s="3">
        <f t="shared" si="6"/>
        <v>0</v>
      </c>
      <c r="L29" s="3">
        <f t="shared" si="6"/>
        <v>0</v>
      </c>
      <c r="M29" s="3">
        <f t="shared" si="6"/>
        <v>0</v>
      </c>
      <c r="N29" s="3">
        <f t="shared" si="6"/>
        <v>0</v>
      </c>
      <c r="O29" s="3">
        <f t="shared" si="6"/>
        <v>0</v>
      </c>
      <c r="P29" s="3">
        <f t="shared" si="6"/>
        <v>0</v>
      </c>
      <c r="Q29" s="6">
        <f>SUM(Q23:Q28)</f>
        <v>0</v>
      </c>
      <c r="R29" s="2" t="s">
        <v>17</v>
      </c>
    </row>
    <row r="30" spans="1:18" x14ac:dyDescent="0.2">
      <c r="Q30" s="9"/>
    </row>
    <row r="31" spans="1:18" s="1" customFormat="1" x14ac:dyDescent="0.2">
      <c r="A31" s="4" t="s">
        <v>11</v>
      </c>
      <c r="B31" s="4">
        <f>(B21+B16+B11+B7)</f>
        <v>0</v>
      </c>
      <c r="C31" s="4">
        <f t="shared" ref="C31:P31" si="7">(C21+C16+C11+C7)</f>
        <v>0</v>
      </c>
      <c r="D31" s="4">
        <f t="shared" si="7"/>
        <v>0</v>
      </c>
      <c r="E31" s="4">
        <f t="shared" si="7"/>
        <v>0</v>
      </c>
      <c r="F31" s="4">
        <f t="shared" si="7"/>
        <v>0</v>
      </c>
      <c r="G31" s="4">
        <f t="shared" si="7"/>
        <v>0</v>
      </c>
      <c r="H31" s="4">
        <f t="shared" si="7"/>
        <v>0</v>
      </c>
      <c r="I31" s="4">
        <f t="shared" si="7"/>
        <v>0</v>
      </c>
      <c r="J31" s="4">
        <f t="shared" si="7"/>
        <v>0</v>
      </c>
      <c r="K31" s="4">
        <f t="shared" si="7"/>
        <v>0</v>
      </c>
      <c r="L31" s="4">
        <f t="shared" si="7"/>
        <v>0</v>
      </c>
      <c r="M31" s="4">
        <f t="shared" si="7"/>
        <v>0</v>
      </c>
      <c r="N31" s="4">
        <f t="shared" si="7"/>
        <v>0</v>
      </c>
      <c r="O31" s="4">
        <f t="shared" si="7"/>
        <v>0</v>
      </c>
      <c r="P31" s="4">
        <f t="shared" si="7"/>
        <v>0</v>
      </c>
      <c r="Q31" s="7">
        <f>SUM(Q21+Q16+Q11+Q7)</f>
        <v>0</v>
      </c>
    </row>
    <row r="35" spans="1:3" x14ac:dyDescent="0.2">
      <c r="A35" s="4" t="s">
        <v>15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C37" t="e">
        <f>B37/B$41*100</f>
        <v>#DIV/0!</v>
      </c>
    </row>
    <row r="38" spans="1:3" x14ac:dyDescent="0.2">
      <c r="A38" t="s">
        <v>3</v>
      </c>
      <c r="C38" t="e">
        <f t="shared" ref="C38:C41" si="8">B38/B$41*100</f>
        <v>#DIV/0!</v>
      </c>
    </row>
    <row r="39" spans="1:3" x14ac:dyDescent="0.2">
      <c r="A39" t="s">
        <v>4</v>
      </c>
      <c r="C39" t="e">
        <f t="shared" si="8"/>
        <v>#DIV/0!</v>
      </c>
    </row>
    <row r="40" spans="1:3" x14ac:dyDescent="0.2">
      <c r="A40" t="s">
        <v>5</v>
      </c>
      <c r="C40" t="e">
        <f t="shared" si="8"/>
        <v>#DIV/0!</v>
      </c>
    </row>
    <row r="41" spans="1:3" x14ac:dyDescent="0.2">
      <c r="A41" s="1" t="s">
        <v>13</v>
      </c>
      <c r="B41">
        <f>(B40+B39+B38+B37)</f>
        <v>0</v>
      </c>
      <c r="C41" t="e">
        <f t="shared" si="8"/>
        <v>#DIV/0!</v>
      </c>
    </row>
    <row r="44" spans="1:3" x14ac:dyDescent="0.2">
      <c r="A44" s="1" t="s">
        <v>53</v>
      </c>
    </row>
  </sheetData>
  <conditionalFormatting sqref="B41">
    <cfRule type="cellIs" dxfId="66" priority="1" operator="lessThan">
      <formula>30</formula>
    </cfRule>
    <cfRule type="cellIs" dxfId="65" priority="2" operator="equal">
      <formula>30</formula>
    </cfRule>
  </conditionalFormatting>
  <conditionalFormatting sqref="B31:P31">
    <cfRule type="cellIs" dxfId="64" priority="3" operator="lessThan">
      <formula>100</formula>
    </cfRule>
    <cfRule type="cellIs" dxfId="63" priority="4" operator="equal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36E7-9F93-1543-8D7F-B9B29BD08F7A}">
  <sheetPr>
    <tabColor rgb="FFFFFF00"/>
  </sheetPr>
  <dimension ref="A1:Q41"/>
  <sheetViews>
    <sheetView tabSelected="1" zoomScale="112" zoomScaleNormal="100" workbookViewId="0">
      <selection activeCell="D15" sqref="D15"/>
    </sheetView>
  </sheetViews>
  <sheetFormatPr baseColWidth="10" defaultColWidth="11" defaultRowHeight="16" x14ac:dyDescent="0.2"/>
  <cols>
    <col min="1" max="1" width="21" bestFit="1" customWidth="1"/>
  </cols>
  <sheetData>
    <row r="1" spans="1:17" x14ac:dyDescent="0.2">
      <c r="A1" s="10" t="s">
        <v>25</v>
      </c>
      <c r="B1" s="1">
        <v>9</v>
      </c>
      <c r="C1" s="1">
        <v>19</v>
      </c>
      <c r="D1" s="1">
        <v>29</v>
      </c>
      <c r="E1" s="1">
        <v>39</v>
      </c>
      <c r="F1" s="1">
        <v>50</v>
      </c>
      <c r="G1" s="1">
        <v>59</v>
      </c>
      <c r="H1" s="1">
        <v>69</v>
      </c>
      <c r="I1" s="1">
        <v>79</v>
      </c>
      <c r="J1" s="1">
        <v>89</v>
      </c>
      <c r="K1" s="1">
        <v>100</v>
      </c>
      <c r="L1" s="1">
        <v>109</v>
      </c>
      <c r="M1" s="1">
        <v>119</v>
      </c>
      <c r="N1" s="1">
        <v>129</v>
      </c>
      <c r="O1" s="1">
        <v>139</v>
      </c>
      <c r="P1" s="1">
        <v>149</v>
      </c>
      <c r="Q1" t="s">
        <v>88</v>
      </c>
    </row>
    <row r="2" spans="1:17" x14ac:dyDescent="0.2">
      <c r="A2" s="1" t="s">
        <v>1</v>
      </c>
      <c r="Q2" s="8"/>
    </row>
    <row r="3" spans="1:17" x14ac:dyDescent="0.2">
      <c r="Q3" s="9"/>
    </row>
    <row r="4" spans="1:17" x14ac:dyDescent="0.2">
      <c r="Q4" s="9"/>
    </row>
    <row r="5" spans="1:17" x14ac:dyDescent="0.2">
      <c r="Q5" s="9"/>
    </row>
    <row r="6" spans="1:17" x14ac:dyDescent="0.2">
      <c r="Q6" s="9"/>
    </row>
    <row r="7" spans="1:17" x14ac:dyDescent="0.2">
      <c r="A7" s="3" t="s">
        <v>99</v>
      </c>
      <c r="B7" s="5">
        <v>0.66666666666666663</v>
      </c>
      <c r="C7" s="2">
        <v>47.666666666666664</v>
      </c>
      <c r="D7" s="3">
        <v>29.333333333333332</v>
      </c>
      <c r="E7" s="3">
        <v>25.333333333333332</v>
      </c>
      <c r="F7" s="3">
        <v>46.666666666666664</v>
      </c>
      <c r="G7" s="3">
        <v>49.333333333333336</v>
      </c>
      <c r="H7" s="3">
        <v>53</v>
      </c>
      <c r="I7" s="3">
        <v>36.333333333333336</v>
      </c>
      <c r="J7" s="3">
        <v>37.333333333333336</v>
      </c>
      <c r="K7" s="3">
        <v>34</v>
      </c>
      <c r="L7" s="3">
        <v>54.666666666666664</v>
      </c>
      <c r="M7" s="3">
        <v>44</v>
      </c>
      <c r="N7" s="3">
        <v>42</v>
      </c>
      <c r="O7" s="3">
        <v>27.666666666666668</v>
      </c>
      <c r="P7" s="3">
        <v>33</v>
      </c>
      <c r="Q7" s="5">
        <f>AVERAGE(B7:P7)</f>
        <v>37.4</v>
      </c>
    </row>
    <row r="8" spans="1:17" x14ac:dyDescent="0.2">
      <c r="A8" s="1" t="s">
        <v>6</v>
      </c>
      <c r="B8">
        <v>69.863013698630141</v>
      </c>
      <c r="C8">
        <v>40.74074074074074</v>
      </c>
      <c r="D8">
        <v>33.333333333333329</v>
      </c>
      <c r="E8">
        <v>44.776119402985074</v>
      </c>
      <c r="G8">
        <v>0</v>
      </c>
      <c r="H8">
        <v>31.03448275862069</v>
      </c>
      <c r="I8">
        <v>47.058823529411761</v>
      </c>
      <c r="J8">
        <v>54.347826086956516</v>
      </c>
      <c r="K8">
        <v>29.032258064516132</v>
      </c>
      <c r="L8">
        <v>35.294117647058826</v>
      </c>
      <c r="M8">
        <v>50.980392156862742</v>
      </c>
      <c r="N8">
        <v>21.212121212121211</v>
      </c>
      <c r="O8">
        <v>11.363636363636363</v>
      </c>
      <c r="P8">
        <v>42.372881355932201</v>
      </c>
      <c r="Q8" s="9"/>
    </row>
    <row r="9" spans="1:17" x14ac:dyDescent="0.2">
      <c r="A9" t="s">
        <v>34</v>
      </c>
      <c r="B9">
        <v>9.5890410958904102</v>
      </c>
      <c r="C9">
        <v>0</v>
      </c>
      <c r="D9">
        <v>11.76470588235294</v>
      </c>
      <c r="E9">
        <v>14.925373134328357</v>
      </c>
      <c r="G9">
        <v>0</v>
      </c>
      <c r="H9">
        <v>0</v>
      </c>
      <c r="I9">
        <v>0</v>
      </c>
      <c r="J9">
        <v>2.1739130434782608</v>
      </c>
      <c r="K9">
        <v>0</v>
      </c>
      <c r="L9">
        <v>0</v>
      </c>
      <c r="M9">
        <v>0</v>
      </c>
      <c r="N9">
        <v>0</v>
      </c>
      <c r="O9">
        <v>4.5454545454545459</v>
      </c>
      <c r="P9">
        <v>0</v>
      </c>
      <c r="Q9" s="9"/>
    </row>
    <row r="10" spans="1:17" x14ac:dyDescent="0.2">
      <c r="A10" t="s">
        <v>47</v>
      </c>
      <c r="B10">
        <v>20.547945205479451</v>
      </c>
      <c r="C10">
        <v>59.259259259259252</v>
      </c>
      <c r="D10">
        <v>54.901960784313729</v>
      </c>
      <c r="E10">
        <v>40.298507462686565</v>
      </c>
      <c r="F10">
        <v>100</v>
      </c>
      <c r="G10">
        <v>100</v>
      </c>
      <c r="H10">
        <v>68.965517241379317</v>
      </c>
      <c r="I10">
        <v>52.941176470588239</v>
      </c>
      <c r="J10">
        <v>43.478260869565219</v>
      </c>
      <c r="K10">
        <v>70.967741935483872</v>
      </c>
      <c r="L10">
        <v>64.705882352941174</v>
      </c>
      <c r="M10">
        <v>49.019607843137251</v>
      </c>
      <c r="N10">
        <v>78.787878787878782</v>
      </c>
      <c r="O10">
        <v>84.090909090909093</v>
      </c>
      <c r="P10">
        <v>57.627118644067799</v>
      </c>
      <c r="Q10" s="9"/>
    </row>
    <row r="11" spans="1:17" x14ac:dyDescent="0.2">
      <c r="A11" s="3" t="s">
        <v>98</v>
      </c>
      <c r="B11" s="3">
        <v>24.333333333333332</v>
      </c>
      <c r="C11" s="2">
        <v>9</v>
      </c>
      <c r="D11" s="3">
        <v>17</v>
      </c>
      <c r="E11" s="3">
        <v>22.333333333333332</v>
      </c>
      <c r="F11" s="3">
        <v>16.333333333333332</v>
      </c>
      <c r="G11" s="3">
        <v>5</v>
      </c>
      <c r="H11" s="3">
        <v>9.6666666666666661</v>
      </c>
      <c r="I11" s="3">
        <v>22.666666666666668</v>
      </c>
      <c r="J11" s="3">
        <v>15.333333333333334</v>
      </c>
      <c r="K11" s="3">
        <v>10.333333333333334</v>
      </c>
      <c r="L11" s="3">
        <v>11.333333333333334</v>
      </c>
      <c r="M11" s="3">
        <v>17</v>
      </c>
      <c r="N11" s="3">
        <v>11</v>
      </c>
      <c r="O11" s="3">
        <v>14.666666666666666</v>
      </c>
      <c r="P11" s="3">
        <v>19.666666666666668</v>
      </c>
      <c r="Q11" s="5">
        <f>AVERAGE(B11:P11)</f>
        <v>15.044444444444444</v>
      </c>
    </row>
    <row r="12" spans="1:17" x14ac:dyDescent="0.2">
      <c r="A12" s="1" t="s">
        <v>8</v>
      </c>
      <c r="Q12" s="9"/>
    </row>
    <row r="13" spans="1:17" x14ac:dyDescent="0.2">
      <c r="A13" s="1"/>
      <c r="Q13" s="9"/>
    </row>
    <row r="14" spans="1:17" x14ac:dyDescent="0.2">
      <c r="A14" s="1"/>
      <c r="Q14" s="9"/>
    </row>
    <row r="15" spans="1:17" x14ac:dyDescent="0.2">
      <c r="Q15" s="9"/>
    </row>
    <row r="16" spans="1:17" x14ac:dyDescent="0.2">
      <c r="A16" s="3" t="s">
        <v>97</v>
      </c>
      <c r="B16" s="3">
        <v>30.333333333333332</v>
      </c>
      <c r="C16" s="2">
        <v>21.666666666666668</v>
      </c>
      <c r="D16" s="3">
        <v>42</v>
      </c>
      <c r="E16" s="3">
        <v>33.333333333333336</v>
      </c>
      <c r="F16" s="3">
        <v>22.333333333333332</v>
      </c>
      <c r="G16" s="3">
        <v>40.333333333333336</v>
      </c>
      <c r="H16" s="3">
        <v>24.666666666666668</v>
      </c>
      <c r="I16" s="3">
        <v>25.333333333333332</v>
      </c>
      <c r="J16" s="3">
        <v>35.333333333333336</v>
      </c>
      <c r="K16" s="3">
        <v>36</v>
      </c>
      <c r="L16" s="3">
        <v>29</v>
      </c>
      <c r="M16" s="3">
        <v>32.666666666666664</v>
      </c>
      <c r="N16" s="3">
        <v>30.666666666666668</v>
      </c>
      <c r="O16" s="3">
        <v>32</v>
      </c>
      <c r="P16" s="3">
        <v>31.666666666666668</v>
      </c>
      <c r="Q16" s="5">
        <f>AVERAGE(B16:P16)</f>
        <v>31.155555555555562</v>
      </c>
    </row>
    <row r="17" spans="1:17" x14ac:dyDescent="0.2">
      <c r="A17" s="1" t="s">
        <v>9</v>
      </c>
      <c r="B17">
        <v>5.3030303030303028</v>
      </c>
      <c r="C17">
        <v>13.846153846153847</v>
      </c>
      <c r="D17">
        <v>28.571428571428569</v>
      </c>
      <c r="E17">
        <v>14.035087719298245</v>
      </c>
      <c r="F17">
        <v>90.909090909090907</v>
      </c>
      <c r="G17">
        <v>100</v>
      </c>
      <c r="H17">
        <v>65.789473684210535</v>
      </c>
      <c r="I17">
        <v>46.808510638297875</v>
      </c>
      <c r="J17">
        <v>25</v>
      </c>
      <c r="K17">
        <v>69.491525423728817</v>
      </c>
      <c r="L17">
        <v>100</v>
      </c>
      <c r="M17">
        <v>31.578947368421051</v>
      </c>
      <c r="N17">
        <v>28.571428571428569</v>
      </c>
      <c r="O17">
        <v>0</v>
      </c>
      <c r="P17">
        <v>6.3829787234042552</v>
      </c>
      <c r="Q17" s="9"/>
    </row>
    <row r="18" spans="1:17" x14ac:dyDescent="0.2">
      <c r="A18" s="2" t="s">
        <v>14</v>
      </c>
      <c r="B18">
        <v>94.696969696969703</v>
      </c>
      <c r="C18">
        <v>86.15384615384616</v>
      </c>
      <c r="D18">
        <v>71.428571428571431</v>
      </c>
      <c r="E18">
        <v>85.964912280701753</v>
      </c>
      <c r="F18">
        <v>9.0909090909090917</v>
      </c>
      <c r="G18">
        <v>0</v>
      </c>
      <c r="H18">
        <v>5.2631578947368416</v>
      </c>
      <c r="I18">
        <v>46.808510638297875</v>
      </c>
      <c r="J18">
        <v>13.888888888888889</v>
      </c>
      <c r="K18">
        <v>23.728813559322035</v>
      </c>
      <c r="M18">
        <v>68.421052631578945</v>
      </c>
      <c r="N18">
        <v>53.061224489795919</v>
      </c>
      <c r="O18">
        <v>97.468354430379748</v>
      </c>
      <c r="P18">
        <v>91.489361702127653</v>
      </c>
      <c r="Q18" s="9"/>
    </row>
    <row r="19" spans="1:17" x14ac:dyDescent="0.2">
      <c r="A19" t="s">
        <v>26</v>
      </c>
      <c r="C19">
        <v>0</v>
      </c>
      <c r="D19">
        <v>0</v>
      </c>
      <c r="E19">
        <v>0</v>
      </c>
      <c r="G19">
        <v>0</v>
      </c>
      <c r="K19">
        <v>0</v>
      </c>
      <c r="Q19" s="9"/>
    </row>
    <row r="20" spans="1:17" x14ac:dyDescent="0.2">
      <c r="A20" t="s">
        <v>65</v>
      </c>
      <c r="C20">
        <v>0</v>
      </c>
      <c r="D20">
        <v>0</v>
      </c>
      <c r="E20">
        <v>0</v>
      </c>
      <c r="G20">
        <v>0</v>
      </c>
      <c r="H20">
        <v>0</v>
      </c>
      <c r="K20">
        <v>3.3898305084745761</v>
      </c>
      <c r="Q20" s="9"/>
    </row>
    <row r="21" spans="1:17" x14ac:dyDescent="0.2">
      <c r="A21" t="s">
        <v>66</v>
      </c>
      <c r="C21" s="2"/>
      <c r="H21">
        <v>28.947368421052634</v>
      </c>
      <c r="I21">
        <v>4.2553191489361701</v>
      </c>
      <c r="J21">
        <v>61.111111111111114</v>
      </c>
      <c r="K21">
        <v>3.3898305084745761</v>
      </c>
      <c r="N21">
        <v>18.367346938775512</v>
      </c>
      <c r="O21">
        <v>2.5316455696202533</v>
      </c>
      <c r="P21">
        <v>2.1276595744680851</v>
      </c>
      <c r="Q21" s="9"/>
    </row>
    <row r="22" spans="1:17" x14ac:dyDescent="0.2">
      <c r="A22" t="s">
        <v>89</v>
      </c>
      <c r="I22">
        <v>2.1276595744680851</v>
      </c>
      <c r="Q22" s="9"/>
    </row>
    <row r="23" spans="1:17" x14ac:dyDescent="0.2">
      <c r="A23" s="3" t="s">
        <v>96</v>
      </c>
      <c r="B23" s="3">
        <v>44.6666666666667</v>
      </c>
      <c r="C23">
        <v>21.666666666666668</v>
      </c>
      <c r="D23" s="3">
        <v>11.666666666666666</v>
      </c>
      <c r="E23" s="3">
        <v>19</v>
      </c>
      <c r="F23" s="3">
        <v>14.666666666666666</v>
      </c>
      <c r="G23" s="3">
        <v>5.333333333333333</v>
      </c>
      <c r="H23" s="3">
        <v>12.666666666666666</v>
      </c>
      <c r="I23" s="3">
        <v>15.666666666666666</v>
      </c>
      <c r="J23" s="3">
        <v>12</v>
      </c>
      <c r="K23" s="3">
        <v>19.666666666666668</v>
      </c>
      <c r="L23" s="3">
        <v>5</v>
      </c>
      <c r="M23" s="3">
        <v>6.333333333333333</v>
      </c>
      <c r="N23" s="3">
        <v>16.333333333333332</v>
      </c>
      <c r="O23" s="3">
        <v>25.666666666666668</v>
      </c>
      <c r="P23" s="3">
        <v>15.666666666666666</v>
      </c>
      <c r="Q23" s="5">
        <f>AVERAGE(B23:P23)</f>
        <v>16.400000000000002</v>
      </c>
    </row>
    <row r="24" spans="1:17" x14ac:dyDescent="0.2">
      <c r="A24" s="1" t="s">
        <v>10</v>
      </c>
      <c r="Q24" s="11" t="s">
        <v>39</v>
      </c>
    </row>
    <row r="25" spans="1:17" x14ac:dyDescent="0.2">
      <c r="A25" s="2" t="s">
        <v>18</v>
      </c>
      <c r="B25">
        <v>100</v>
      </c>
      <c r="C25">
        <v>130</v>
      </c>
      <c r="D25">
        <v>164</v>
      </c>
      <c r="E25">
        <v>173</v>
      </c>
      <c r="F25">
        <v>138</v>
      </c>
      <c r="G25">
        <v>46</v>
      </c>
      <c r="H25">
        <v>68</v>
      </c>
      <c r="I25">
        <v>144</v>
      </c>
      <c r="J25">
        <v>131</v>
      </c>
      <c r="K25">
        <v>122</v>
      </c>
      <c r="L25">
        <v>109</v>
      </c>
      <c r="M25">
        <v>110</v>
      </c>
      <c r="N25">
        <v>99</v>
      </c>
      <c r="O25">
        <v>259</v>
      </c>
      <c r="P25">
        <v>154</v>
      </c>
      <c r="Q25" s="9">
        <f>SUM(B25:P25)</f>
        <v>1947</v>
      </c>
    </row>
    <row r="26" spans="1:17" x14ac:dyDescent="0.2">
      <c r="A26" s="2" t="s">
        <v>19</v>
      </c>
      <c r="B26">
        <v>4</v>
      </c>
      <c r="C26">
        <v>12</v>
      </c>
      <c r="D26">
        <v>4</v>
      </c>
      <c r="E26">
        <v>8</v>
      </c>
      <c r="F26">
        <v>16</v>
      </c>
      <c r="G26">
        <v>7</v>
      </c>
      <c r="H26">
        <v>9</v>
      </c>
      <c r="I26">
        <v>9</v>
      </c>
      <c r="J26">
        <v>7</v>
      </c>
      <c r="K26">
        <v>9</v>
      </c>
      <c r="L26">
        <v>1</v>
      </c>
      <c r="M26">
        <v>3</v>
      </c>
      <c r="N26">
        <v>4</v>
      </c>
      <c r="O26">
        <v>16</v>
      </c>
      <c r="P26">
        <v>8</v>
      </c>
      <c r="Q26" s="9">
        <f>SUM(B26:P26)</f>
        <v>117</v>
      </c>
    </row>
    <row r="27" spans="1:17" x14ac:dyDescent="0.2">
      <c r="A27" s="2" t="s">
        <v>20</v>
      </c>
      <c r="B27">
        <v>1</v>
      </c>
      <c r="C27">
        <v>6</v>
      </c>
      <c r="D27">
        <v>1</v>
      </c>
      <c r="E27">
        <v>2</v>
      </c>
      <c r="F27">
        <v>2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3</v>
      </c>
      <c r="P27">
        <v>2</v>
      </c>
      <c r="Q27" s="9">
        <f t="shared" ref="Q27:Q29" si="0">SUM(B27:P27)</f>
        <v>20</v>
      </c>
    </row>
    <row r="28" spans="1:17" x14ac:dyDescent="0.2">
      <c r="A28" s="2" t="s">
        <v>21</v>
      </c>
      <c r="B28">
        <v>0</v>
      </c>
      <c r="C28">
        <v>1</v>
      </c>
      <c r="D28">
        <v>0</v>
      </c>
      <c r="E28">
        <v>2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9">
        <f t="shared" si="0"/>
        <v>5</v>
      </c>
    </row>
    <row r="29" spans="1:17" x14ac:dyDescent="0.2">
      <c r="A29" s="2" t="s">
        <v>22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2</v>
      </c>
      <c r="P29">
        <v>0</v>
      </c>
      <c r="Q29" s="9">
        <f t="shared" si="0"/>
        <v>6</v>
      </c>
    </row>
    <row r="30" spans="1:17" x14ac:dyDescent="0.2">
      <c r="A30" s="2" t="s">
        <v>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9">
        <f>SUM(B30:P30)</f>
        <v>0</v>
      </c>
    </row>
    <row r="31" spans="1:17" x14ac:dyDescent="0.2">
      <c r="A31" s="3" t="s">
        <v>7</v>
      </c>
      <c r="B31" s="3">
        <v>105</v>
      </c>
      <c r="C31" s="3">
        <v>150</v>
      </c>
      <c r="D31" s="3">
        <v>169</v>
      </c>
      <c r="E31" s="3">
        <v>186</v>
      </c>
      <c r="F31" s="3">
        <v>156</v>
      </c>
      <c r="G31" s="3">
        <v>54</v>
      </c>
      <c r="H31" s="3">
        <v>78</v>
      </c>
      <c r="I31" s="3">
        <v>153</v>
      </c>
      <c r="J31" s="3">
        <v>139</v>
      </c>
      <c r="K31" s="3">
        <v>132</v>
      </c>
      <c r="L31" s="3">
        <v>110</v>
      </c>
      <c r="M31" s="3">
        <v>114</v>
      </c>
      <c r="N31" s="3">
        <v>105</v>
      </c>
      <c r="O31" s="3">
        <v>280</v>
      </c>
      <c r="P31" s="3">
        <v>164</v>
      </c>
      <c r="Q31" s="6">
        <f>SUM(Q25:Q30)</f>
        <v>2095</v>
      </c>
    </row>
    <row r="32" spans="1:17" x14ac:dyDescent="0.2">
      <c r="Q32" s="9"/>
    </row>
    <row r="33" spans="1:17" x14ac:dyDescent="0.2">
      <c r="A33" s="4" t="s">
        <v>11</v>
      </c>
      <c r="B33" s="4">
        <f>(B23+B16+B11+B7)</f>
        <v>100.00000000000003</v>
      </c>
      <c r="C33" s="4">
        <f t="shared" ref="C33:P33" si="1">(C23+C16+C11+C7)</f>
        <v>100</v>
      </c>
      <c r="D33" s="4">
        <f t="shared" si="1"/>
        <v>99.999999999999986</v>
      </c>
      <c r="E33" s="4">
        <f t="shared" si="1"/>
        <v>100</v>
      </c>
      <c r="F33" s="4">
        <f t="shared" si="1"/>
        <v>100</v>
      </c>
      <c r="G33" s="4">
        <f t="shared" si="1"/>
        <v>100</v>
      </c>
      <c r="H33" s="4">
        <f t="shared" si="1"/>
        <v>100</v>
      </c>
      <c r="I33" s="4">
        <f t="shared" si="1"/>
        <v>100</v>
      </c>
      <c r="J33" s="4">
        <f t="shared" si="1"/>
        <v>100</v>
      </c>
      <c r="K33" s="4">
        <f t="shared" si="1"/>
        <v>100</v>
      </c>
      <c r="L33" s="4">
        <f t="shared" si="1"/>
        <v>100</v>
      </c>
      <c r="M33" s="4">
        <f t="shared" si="1"/>
        <v>100</v>
      </c>
      <c r="N33" s="4">
        <f t="shared" si="1"/>
        <v>100</v>
      </c>
      <c r="O33" s="4">
        <f t="shared" si="1"/>
        <v>100.00000000000001</v>
      </c>
      <c r="P33" s="4">
        <f t="shared" si="1"/>
        <v>100</v>
      </c>
      <c r="Q33" s="7">
        <f>SUM(Q23+Q16+Q11+Q7)</f>
        <v>100</v>
      </c>
    </row>
    <row r="35" spans="1:17" x14ac:dyDescent="0.2">
      <c r="A35" s="10" t="s">
        <v>25</v>
      </c>
      <c r="B35" s="1">
        <v>9</v>
      </c>
      <c r="C35" s="1">
        <v>19</v>
      </c>
      <c r="D35" s="1">
        <v>29</v>
      </c>
      <c r="E35" s="1">
        <v>39</v>
      </c>
      <c r="F35" s="1">
        <v>50</v>
      </c>
      <c r="G35" s="1">
        <v>59</v>
      </c>
      <c r="H35" s="1">
        <v>69</v>
      </c>
      <c r="I35" s="1">
        <v>79</v>
      </c>
      <c r="J35" s="1">
        <v>89</v>
      </c>
      <c r="K35" s="1">
        <v>100</v>
      </c>
      <c r="L35" s="1">
        <v>109</v>
      </c>
      <c r="M35" s="1">
        <v>119</v>
      </c>
      <c r="N35" s="1">
        <v>129</v>
      </c>
      <c r="O35" s="1">
        <v>139</v>
      </c>
      <c r="P35" s="1">
        <v>149</v>
      </c>
      <c r="Q35" t="s">
        <v>88</v>
      </c>
    </row>
    <row r="36" spans="1:17" x14ac:dyDescent="0.2">
      <c r="A36" s="1" t="s">
        <v>12</v>
      </c>
    </row>
    <row r="37" spans="1:17" x14ac:dyDescent="0.2">
      <c r="A37" t="s">
        <v>2</v>
      </c>
      <c r="B37">
        <v>0</v>
      </c>
      <c r="C37">
        <v>40</v>
      </c>
      <c r="D37">
        <v>10</v>
      </c>
      <c r="E37">
        <v>20</v>
      </c>
      <c r="F37">
        <v>36.666666666666664</v>
      </c>
      <c r="G37">
        <v>10</v>
      </c>
      <c r="H37">
        <v>13.333333333333334</v>
      </c>
      <c r="I37">
        <v>33.333333333333329</v>
      </c>
      <c r="J37">
        <v>16.666666666666664</v>
      </c>
      <c r="K37">
        <v>36.666666666666664</v>
      </c>
      <c r="L37">
        <v>36.666666666666664</v>
      </c>
      <c r="M37">
        <v>20</v>
      </c>
      <c r="N37">
        <v>16.666666666666664</v>
      </c>
      <c r="O37">
        <v>10</v>
      </c>
      <c r="P37">
        <v>13.333333333333334</v>
      </c>
    </row>
    <row r="38" spans="1:17" x14ac:dyDescent="0.2">
      <c r="A38" t="s">
        <v>3</v>
      </c>
      <c r="B38">
        <v>0</v>
      </c>
      <c r="C38">
        <v>40</v>
      </c>
      <c r="D38">
        <v>56.6666666666667</v>
      </c>
      <c r="E38">
        <v>43.333333333333336</v>
      </c>
      <c r="F38">
        <v>36.666666666666664</v>
      </c>
      <c r="G38">
        <v>23.333333333333332</v>
      </c>
      <c r="H38">
        <v>40</v>
      </c>
      <c r="I38">
        <v>50</v>
      </c>
      <c r="J38">
        <v>46.666666666666664</v>
      </c>
      <c r="K38">
        <v>30</v>
      </c>
      <c r="L38">
        <v>23.333333333333332</v>
      </c>
      <c r="M38">
        <v>23.333333333333332</v>
      </c>
      <c r="N38">
        <v>43.333333333333336</v>
      </c>
      <c r="O38">
        <v>36.666666666666664</v>
      </c>
      <c r="P38">
        <v>43.333333333333336</v>
      </c>
    </row>
    <row r="39" spans="1:17" x14ac:dyDescent="0.2">
      <c r="A39" t="s">
        <v>4</v>
      </c>
      <c r="B39">
        <v>100</v>
      </c>
      <c r="C39">
        <v>20</v>
      </c>
      <c r="D39">
        <v>26.666666666666668</v>
      </c>
      <c r="E39">
        <v>26.666666666666668</v>
      </c>
      <c r="F39">
        <v>26.666666666666668</v>
      </c>
      <c r="G39">
        <v>66.666666666666657</v>
      </c>
      <c r="H39">
        <v>40</v>
      </c>
      <c r="I39">
        <v>3.3333333333333335</v>
      </c>
      <c r="J39">
        <v>16.666666666666664</v>
      </c>
      <c r="K39">
        <v>30</v>
      </c>
      <c r="L39">
        <v>20</v>
      </c>
      <c r="M39">
        <v>40</v>
      </c>
      <c r="N39">
        <v>36.666666666666664</v>
      </c>
      <c r="O39">
        <v>53.333333333333336</v>
      </c>
      <c r="P39">
        <v>33.333333333333329</v>
      </c>
    </row>
    <row r="40" spans="1:17" x14ac:dyDescent="0.2">
      <c r="A40" t="s">
        <v>5</v>
      </c>
      <c r="B40">
        <v>0</v>
      </c>
      <c r="C40">
        <v>0</v>
      </c>
      <c r="D40">
        <v>6.666666666666667</v>
      </c>
      <c r="E40">
        <v>10</v>
      </c>
      <c r="F40">
        <v>0</v>
      </c>
      <c r="G40">
        <v>0</v>
      </c>
      <c r="H40">
        <v>6.666666666666667</v>
      </c>
      <c r="I40">
        <v>13.333333333333334</v>
      </c>
      <c r="J40">
        <v>20</v>
      </c>
      <c r="K40">
        <v>3.3333333333333335</v>
      </c>
      <c r="L40">
        <v>20</v>
      </c>
      <c r="M40">
        <v>16.666666666666664</v>
      </c>
      <c r="N40">
        <v>3.3333333333333335</v>
      </c>
      <c r="O40">
        <v>0</v>
      </c>
      <c r="P40">
        <v>10</v>
      </c>
    </row>
    <row r="41" spans="1:17" x14ac:dyDescent="0.2">
      <c r="A41" s="1" t="s">
        <v>13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</row>
  </sheetData>
  <conditionalFormatting sqref="B33:P33">
    <cfRule type="cellIs" dxfId="62" priority="1" operator="lessThan">
      <formula>100</formula>
    </cfRule>
    <cfRule type="cellIs" dxfId="61" priority="2" operator="equal">
      <formula>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51B6-751F-B143-8E7C-0A5D9B4D5474}">
  <dimension ref="A1:Q68"/>
  <sheetViews>
    <sheetView workbookViewId="0">
      <selection activeCell="B11" sqref="B11:P11"/>
    </sheetView>
  </sheetViews>
  <sheetFormatPr baseColWidth="10" defaultColWidth="11" defaultRowHeight="16" x14ac:dyDescent="0.2"/>
  <cols>
    <col min="1" max="1" width="23.83203125" bestFit="1" customWidth="1"/>
    <col min="2" max="2" width="12.33203125" bestFit="1" customWidth="1"/>
    <col min="3" max="4" width="12.6640625" bestFit="1" customWidth="1"/>
    <col min="5" max="5" width="12.33203125" bestFit="1" customWidth="1"/>
    <col min="6" max="6" width="12.6640625" bestFit="1" customWidth="1"/>
    <col min="7" max="7" width="12.33203125" bestFit="1" customWidth="1"/>
    <col min="8" max="8" width="12.6640625" bestFit="1" customWidth="1"/>
    <col min="9" max="10" width="12.33203125" bestFit="1" customWidth="1"/>
    <col min="11" max="16" width="12.6640625" bestFit="1" customWidth="1"/>
  </cols>
  <sheetData>
    <row r="1" spans="1:17" x14ac:dyDescent="0.2">
      <c r="A1" s="22" t="s">
        <v>25</v>
      </c>
      <c r="B1" s="12">
        <v>9</v>
      </c>
      <c r="C1" s="12">
        <v>19</v>
      </c>
      <c r="D1" s="12">
        <v>29</v>
      </c>
      <c r="E1" s="12">
        <v>39</v>
      </c>
      <c r="F1" s="12">
        <v>50</v>
      </c>
      <c r="G1" s="12">
        <v>59</v>
      </c>
      <c r="H1" s="12">
        <v>69</v>
      </c>
      <c r="I1" s="12">
        <v>79</v>
      </c>
      <c r="J1" s="12">
        <v>89</v>
      </c>
      <c r="K1" s="12">
        <v>100</v>
      </c>
      <c r="L1" s="12">
        <v>109</v>
      </c>
      <c r="M1" s="12">
        <v>119</v>
      </c>
      <c r="N1" s="12">
        <v>129</v>
      </c>
      <c r="O1" s="12">
        <v>139</v>
      </c>
      <c r="P1" s="12">
        <v>149</v>
      </c>
      <c r="Q1" s="20" t="s">
        <v>88</v>
      </c>
    </row>
    <row r="2" spans="1:17" x14ac:dyDescent="0.2">
      <c r="A2" s="12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3"/>
    </row>
    <row r="3" spans="1:17" x14ac:dyDescent="0.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1"/>
    </row>
    <row r="4" spans="1:17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1"/>
    </row>
    <row r="5" spans="1:17" x14ac:dyDescent="0.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1"/>
    </row>
    <row r="6" spans="1:17" x14ac:dyDescent="0.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1"/>
    </row>
    <row r="7" spans="1:17" x14ac:dyDescent="0.2">
      <c r="A7" s="24" t="s">
        <v>99</v>
      </c>
      <c r="B7" s="25">
        <v>0.66666667000000002</v>
      </c>
      <c r="C7" s="21">
        <v>47.6666667</v>
      </c>
      <c r="D7" s="24">
        <v>29.333333</v>
      </c>
      <c r="E7" s="24">
        <v>25.333333</v>
      </c>
      <c r="F7" s="24">
        <v>46.666666999999997</v>
      </c>
      <c r="G7" s="24">
        <v>49.333333000000003</v>
      </c>
      <c r="H7" s="24">
        <v>53</v>
      </c>
      <c r="I7" s="24">
        <v>36.333333000000003</v>
      </c>
      <c r="J7" s="24">
        <v>37.333333000000003</v>
      </c>
      <c r="K7" s="24">
        <v>34</v>
      </c>
      <c r="L7" s="24">
        <v>54.666666999999997</v>
      </c>
      <c r="M7" s="24">
        <v>44</v>
      </c>
      <c r="N7" s="24">
        <v>42</v>
      </c>
      <c r="O7" s="24">
        <v>27.666667</v>
      </c>
      <c r="P7" s="24">
        <v>33</v>
      </c>
      <c r="Q7" s="25">
        <v>37.4</v>
      </c>
    </row>
    <row r="8" spans="1:17" x14ac:dyDescent="0.2">
      <c r="A8" s="12" t="s">
        <v>6</v>
      </c>
      <c r="B8" s="20">
        <v>69.863013699999996</v>
      </c>
      <c r="C8" s="20">
        <v>40.740740700000003</v>
      </c>
      <c r="D8" s="20">
        <v>33.3333333</v>
      </c>
      <c r="E8" s="20">
        <v>44.776119399999999</v>
      </c>
      <c r="F8" s="20"/>
      <c r="G8" s="20">
        <v>0</v>
      </c>
      <c r="H8" s="20">
        <v>31.034482799999999</v>
      </c>
      <c r="I8" s="20">
        <v>47.058823500000003</v>
      </c>
      <c r="J8" s="20">
        <v>54.347826099999999</v>
      </c>
      <c r="K8" s="20">
        <v>29.0322581</v>
      </c>
      <c r="L8" s="20">
        <v>35.2941176</v>
      </c>
      <c r="M8" s="20">
        <v>50.980392199999997</v>
      </c>
      <c r="N8" s="20">
        <v>21.212121199999999</v>
      </c>
      <c r="O8" s="20">
        <v>11.363636400000001</v>
      </c>
      <c r="P8" s="20">
        <v>42.372881399999997</v>
      </c>
      <c r="Q8" s="11"/>
    </row>
    <row r="9" spans="1:17" x14ac:dyDescent="0.2">
      <c r="A9" s="20" t="s">
        <v>34</v>
      </c>
      <c r="B9" s="20">
        <v>9.5890410999999993</v>
      </c>
      <c r="C9" s="20">
        <v>0</v>
      </c>
      <c r="D9" s="20">
        <v>11.764705899999999</v>
      </c>
      <c r="E9" s="20">
        <v>14.9253731</v>
      </c>
      <c r="F9" s="20"/>
      <c r="G9" s="20">
        <v>0</v>
      </c>
      <c r="H9" s="20">
        <v>0</v>
      </c>
      <c r="I9" s="20">
        <v>0</v>
      </c>
      <c r="J9" s="20">
        <v>2.17391304</v>
      </c>
      <c r="K9" s="20">
        <v>0</v>
      </c>
      <c r="L9" s="20">
        <v>0</v>
      </c>
      <c r="M9" s="20">
        <v>0</v>
      </c>
      <c r="N9" s="20">
        <v>0</v>
      </c>
      <c r="O9" s="20">
        <v>4.5454545499999996</v>
      </c>
      <c r="P9" s="20">
        <v>0</v>
      </c>
      <c r="Q9" s="11"/>
    </row>
    <row r="10" spans="1:17" x14ac:dyDescent="0.2">
      <c r="A10" s="20" t="s">
        <v>47</v>
      </c>
      <c r="B10" s="20">
        <v>20.547945200000001</v>
      </c>
      <c r="C10" s="20">
        <v>59.259259299999997</v>
      </c>
      <c r="D10" s="20">
        <v>54.901960799999998</v>
      </c>
      <c r="E10" s="20">
        <v>40.298507499999999</v>
      </c>
      <c r="F10" s="20">
        <v>100</v>
      </c>
      <c r="G10" s="20">
        <v>100</v>
      </c>
      <c r="H10" s="20">
        <v>68.965517199999994</v>
      </c>
      <c r="I10" s="20">
        <v>52.941176499999997</v>
      </c>
      <c r="J10" s="20">
        <v>43.478260900000002</v>
      </c>
      <c r="K10" s="20">
        <v>70.967741899999993</v>
      </c>
      <c r="L10" s="20">
        <v>64.705882399999993</v>
      </c>
      <c r="M10" s="20">
        <v>49.019607800000003</v>
      </c>
      <c r="N10" s="20">
        <v>78.787878800000001</v>
      </c>
      <c r="O10" s="20">
        <v>84.090909100000005</v>
      </c>
      <c r="P10" s="20">
        <v>57.627118600000003</v>
      </c>
      <c r="Q10" s="11"/>
    </row>
    <row r="11" spans="1:17" x14ac:dyDescent="0.2">
      <c r="A11" s="24" t="s">
        <v>98</v>
      </c>
      <c r="B11" s="24">
        <v>24.333333</v>
      </c>
      <c r="C11" s="21">
        <v>9</v>
      </c>
      <c r="D11" s="24">
        <v>17</v>
      </c>
      <c r="E11" s="24">
        <v>22.333333</v>
      </c>
      <c r="F11" s="24">
        <v>16.333333</v>
      </c>
      <c r="G11" s="24">
        <v>5</v>
      </c>
      <c r="H11" s="24">
        <v>9.6666667000000004</v>
      </c>
      <c r="I11" s="24">
        <v>22.666667</v>
      </c>
      <c r="J11" s="24">
        <v>15.333333</v>
      </c>
      <c r="K11" s="24">
        <v>10.333333</v>
      </c>
      <c r="L11" s="24">
        <v>11.333333</v>
      </c>
      <c r="M11" s="24">
        <v>17</v>
      </c>
      <c r="N11" s="24">
        <v>11</v>
      </c>
      <c r="O11" s="24">
        <v>14.666667</v>
      </c>
      <c r="P11" s="24">
        <v>19.666667</v>
      </c>
      <c r="Q11" s="25">
        <v>15.0444444</v>
      </c>
    </row>
    <row r="12" spans="1:17" x14ac:dyDescent="0.2">
      <c r="A12" s="12" t="s">
        <v>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1"/>
    </row>
    <row r="13" spans="1:17" x14ac:dyDescent="0.2">
      <c r="A13" s="12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1"/>
    </row>
    <row r="14" spans="1:17" x14ac:dyDescent="0.2">
      <c r="A14" s="12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1"/>
    </row>
    <row r="15" spans="1:17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1"/>
    </row>
    <row r="16" spans="1:17" x14ac:dyDescent="0.2">
      <c r="A16" s="24" t="s">
        <v>97</v>
      </c>
      <c r="B16" s="24">
        <v>30.333333</v>
      </c>
      <c r="C16" s="21">
        <v>21.6666667</v>
      </c>
      <c r="D16" s="24">
        <v>42</v>
      </c>
      <c r="E16" s="24">
        <v>33.333333000000003</v>
      </c>
      <c r="F16" s="24">
        <v>22.333333</v>
      </c>
      <c r="G16" s="24">
        <v>40.333333000000003</v>
      </c>
      <c r="H16" s="24">
        <v>24.666667</v>
      </c>
      <c r="I16" s="24">
        <v>25.333333</v>
      </c>
      <c r="J16" s="24">
        <v>35.333333000000003</v>
      </c>
      <c r="K16" s="24">
        <v>36</v>
      </c>
      <c r="L16" s="24">
        <v>29</v>
      </c>
      <c r="M16" s="24">
        <v>32.666666999999997</v>
      </c>
      <c r="N16" s="24">
        <v>30.666667</v>
      </c>
      <c r="O16" s="24">
        <v>32</v>
      </c>
      <c r="P16" s="24">
        <v>31.666667</v>
      </c>
      <c r="Q16" s="25">
        <v>31.1555556</v>
      </c>
    </row>
    <row r="17" spans="1:17" x14ac:dyDescent="0.2">
      <c r="A17" s="12" t="s">
        <v>9</v>
      </c>
      <c r="B17" s="20">
        <v>5.3030302999999996</v>
      </c>
      <c r="C17" s="20">
        <v>13.8461538</v>
      </c>
      <c r="D17" s="20">
        <v>28.571428600000001</v>
      </c>
      <c r="E17" s="20">
        <v>14.0350877</v>
      </c>
      <c r="F17" s="20">
        <v>90.909090899999995</v>
      </c>
      <c r="G17" s="20">
        <v>100</v>
      </c>
      <c r="H17" s="20">
        <v>65.789473700000002</v>
      </c>
      <c r="I17" s="20">
        <v>46.808510599999998</v>
      </c>
      <c r="J17" s="20">
        <v>25</v>
      </c>
      <c r="K17" s="20">
        <v>69.4915254</v>
      </c>
      <c r="L17" s="20">
        <v>100</v>
      </c>
      <c r="M17" s="20">
        <v>31.578947400000001</v>
      </c>
      <c r="N17" s="20">
        <v>28.571428600000001</v>
      </c>
      <c r="O17" s="20">
        <v>0</v>
      </c>
      <c r="P17" s="20">
        <v>6.3829787199999997</v>
      </c>
      <c r="Q17" s="11"/>
    </row>
    <row r="18" spans="1:17" x14ac:dyDescent="0.2">
      <c r="A18" s="21" t="s">
        <v>14</v>
      </c>
      <c r="B18" s="20">
        <v>94.696969699999997</v>
      </c>
      <c r="C18" s="20">
        <v>86.153846200000004</v>
      </c>
      <c r="D18" s="20">
        <v>71.428571399999996</v>
      </c>
      <c r="E18" s="20">
        <v>85.964912299999995</v>
      </c>
      <c r="F18" s="20">
        <v>9.0909090900000002</v>
      </c>
      <c r="G18" s="20">
        <v>0</v>
      </c>
      <c r="H18" s="20">
        <v>5.2631578899999996</v>
      </c>
      <c r="I18" s="20">
        <v>46.808510599999998</v>
      </c>
      <c r="J18" s="20">
        <v>13.8888889</v>
      </c>
      <c r="K18" s="20">
        <v>23.728813599999999</v>
      </c>
      <c r="L18" s="20"/>
      <c r="M18" s="20">
        <v>68.421052599999996</v>
      </c>
      <c r="N18" s="20">
        <v>53.061224500000002</v>
      </c>
      <c r="O18" s="20">
        <v>97.468354399999996</v>
      </c>
      <c r="P18" s="20">
        <v>91.489361700000003</v>
      </c>
      <c r="Q18" s="11"/>
    </row>
    <row r="19" spans="1:17" x14ac:dyDescent="0.2">
      <c r="A19" s="20" t="s">
        <v>26</v>
      </c>
      <c r="B19" s="20"/>
      <c r="C19" s="20">
        <v>0</v>
      </c>
      <c r="D19" s="20">
        <v>0</v>
      </c>
      <c r="E19" s="20">
        <v>0</v>
      </c>
      <c r="F19" s="20"/>
      <c r="G19" s="20">
        <v>0</v>
      </c>
      <c r="H19" s="20"/>
      <c r="I19" s="20"/>
      <c r="J19" s="20"/>
      <c r="K19" s="20">
        <v>0</v>
      </c>
      <c r="L19" s="20"/>
      <c r="M19" s="20"/>
      <c r="N19" s="20"/>
      <c r="O19" s="20"/>
      <c r="P19" s="20"/>
      <c r="Q19" s="11"/>
    </row>
    <row r="20" spans="1:17" x14ac:dyDescent="0.2">
      <c r="A20" s="20" t="s">
        <v>65</v>
      </c>
      <c r="B20" s="20"/>
      <c r="C20" s="20">
        <v>0</v>
      </c>
      <c r="D20" s="20">
        <v>0</v>
      </c>
      <c r="E20" s="20">
        <v>0</v>
      </c>
      <c r="F20" s="20"/>
      <c r="G20" s="20">
        <v>0</v>
      </c>
      <c r="H20" s="20">
        <v>0</v>
      </c>
      <c r="I20" s="20"/>
      <c r="J20" s="20"/>
      <c r="K20" s="20">
        <v>3.3898305099999999</v>
      </c>
      <c r="L20" s="20"/>
      <c r="M20" s="20"/>
      <c r="N20" s="20"/>
      <c r="O20" s="20"/>
      <c r="P20" s="20"/>
      <c r="Q20" s="11"/>
    </row>
    <row r="21" spans="1:17" x14ac:dyDescent="0.2">
      <c r="A21" s="20" t="s">
        <v>66</v>
      </c>
      <c r="B21" s="20"/>
      <c r="C21" s="21"/>
      <c r="D21" s="20"/>
      <c r="E21" s="20"/>
      <c r="F21" s="20"/>
      <c r="G21" s="20"/>
      <c r="H21" s="20">
        <v>28.947368399999998</v>
      </c>
      <c r="I21" s="20">
        <v>4.2553191500000001</v>
      </c>
      <c r="J21" s="20">
        <v>61.111111100000002</v>
      </c>
      <c r="K21" s="20">
        <v>3.3898305099999999</v>
      </c>
      <c r="L21" s="20"/>
      <c r="M21" s="20"/>
      <c r="N21" s="20">
        <v>18.367346900000001</v>
      </c>
      <c r="O21" s="20">
        <v>2.5316455699999998</v>
      </c>
      <c r="P21" s="20">
        <v>2.1276595700000001</v>
      </c>
      <c r="Q21" s="11"/>
    </row>
    <row r="22" spans="1:17" x14ac:dyDescent="0.2">
      <c r="A22" s="20" t="s">
        <v>89</v>
      </c>
      <c r="B22" s="20"/>
      <c r="C22" s="20"/>
      <c r="D22" s="20"/>
      <c r="E22" s="20"/>
      <c r="F22" s="20"/>
      <c r="G22" s="20"/>
      <c r="H22" s="20"/>
      <c r="I22" s="20">
        <v>2.1276595700000001</v>
      </c>
      <c r="J22" s="20"/>
      <c r="K22" s="20"/>
      <c r="L22" s="20"/>
      <c r="M22" s="20"/>
      <c r="N22" s="20"/>
      <c r="O22" s="20"/>
      <c r="P22" s="20"/>
      <c r="Q22" s="11"/>
    </row>
    <row r="23" spans="1:17" x14ac:dyDescent="0.2">
      <c r="A23" s="24" t="s">
        <v>96</v>
      </c>
      <c r="B23" s="24">
        <v>44.666666999999997</v>
      </c>
      <c r="C23" s="20">
        <v>21.6666667</v>
      </c>
      <c r="D23" s="24">
        <v>11.666667</v>
      </c>
      <c r="E23" s="24">
        <v>19</v>
      </c>
      <c r="F23" s="24">
        <v>14.666667</v>
      </c>
      <c r="G23" s="24">
        <v>5.3333332999999996</v>
      </c>
      <c r="H23" s="24">
        <v>12.666667</v>
      </c>
      <c r="I23" s="24">
        <v>15.666667</v>
      </c>
      <c r="J23" s="24">
        <v>12</v>
      </c>
      <c r="K23" s="24">
        <v>19.666667</v>
      </c>
      <c r="L23" s="24">
        <v>5</v>
      </c>
      <c r="M23" s="24">
        <v>6.3333332999999996</v>
      </c>
      <c r="N23" s="24">
        <v>16.333333</v>
      </c>
      <c r="O23" s="24">
        <v>25.666667</v>
      </c>
      <c r="P23" s="24">
        <v>15.666667</v>
      </c>
      <c r="Q23" s="25">
        <v>16.399999999999999</v>
      </c>
    </row>
    <row r="24" spans="1:17" x14ac:dyDescent="0.2">
      <c r="A24" s="12" t="s">
        <v>10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1" t="s">
        <v>39</v>
      </c>
    </row>
    <row r="25" spans="1:17" x14ac:dyDescent="0.2">
      <c r="A25" s="21" t="s">
        <v>18</v>
      </c>
      <c r="B25" s="20">
        <v>100</v>
      </c>
      <c r="C25" s="20">
        <v>130</v>
      </c>
      <c r="D25" s="20">
        <v>164</v>
      </c>
      <c r="E25" s="20">
        <v>173</v>
      </c>
      <c r="F25" s="20">
        <v>138</v>
      </c>
      <c r="G25" s="20">
        <v>46</v>
      </c>
      <c r="H25" s="20">
        <v>68</v>
      </c>
      <c r="I25" s="20">
        <v>144</v>
      </c>
      <c r="J25" s="20">
        <v>131</v>
      </c>
      <c r="K25" s="20">
        <v>122</v>
      </c>
      <c r="L25" s="20">
        <v>109</v>
      </c>
      <c r="M25" s="20">
        <v>110</v>
      </c>
      <c r="N25" s="20">
        <v>99</v>
      </c>
      <c r="O25" s="20">
        <v>259</v>
      </c>
      <c r="P25" s="20">
        <v>154</v>
      </c>
      <c r="Q25" s="11">
        <v>1947</v>
      </c>
    </row>
    <row r="26" spans="1:17" x14ac:dyDescent="0.2">
      <c r="A26" s="21" t="s">
        <v>19</v>
      </c>
      <c r="B26" s="20">
        <v>4</v>
      </c>
      <c r="C26" s="20">
        <v>12</v>
      </c>
      <c r="D26" s="20">
        <v>4</v>
      </c>
      <c r="E26" s="20">
        <v>8</v>
      </c>
      <c r="F26" s="20">
        <v>16</v>
      </c>
      <c r="G26" s="20">
        <v>7</v>
      </c>
      <c r="H26" s="20">
        <v>9</v>
      </c>
      <c r="I26" s="20">
        <v>9</v>
      </c>
      <c r="J26" s="20">
        <v>7</v>
      </c>
      <c r="K26" s="20">
        <v>9</v>
      </c>
      <c r="L26" s="20">
        <v>1</v>
      </c>
      <c r="M26" s="20">
        <v>3</v>
      </c>
      <c r="N26" s="20">
        <v>4</v>
      </c>
      <c r="O26" s="20">
        <v>16</v>
      </c>
      <c r="P26" s="20">
        <v>8</v>
      </c>
      <c r="Q26" s="11">
        <v>117</v>
      </c>
    </row>
    <row r="27" spans="1:17" x14ac:dyDescent="0.2">
      <c r="A27" s="21" t="s">
        <v>20</v>
      </c>
      <c r="B27" s="20">
        <v>1</v>
      </c>
      <c r="C27" s="20">
        <v>6</v>
      </c>
      <c r="D27" s="20">
        <v>1</v>
      </c>
      <c r="E27" s="20">
        <v>2</v>
      </c>
      <c r="F27" s="20">
        <v>2</v>
      </c>
      <c r="G27" s="20">
        <v>0</v>
      </c>
      <c r="H27" s="20">
        <v>1</v>
      </c>
      <c r="I27" s="20">
        <v>0</v>
      </c>
      <c r="J27" s="20">
        <v>0</v>
      </c>
      <c r="K27" s="20">
        <v>0</v>
      </c>
      <c r="L27" s="20">
        <v>0</v>
      </c>
      <c r="M27" s="20">
        <v>1</v>
      </c>
      <c r="N27" s="20">
        <v>1</v>
      </c>
      <c r="O27" s="20">
        <v>3</v>
      </c>
      <c r="P27" s="20">
        <v>2</v>
      </c>
      <c r="Q27" s="11">
        <v>20</v>
      </c>
    </row>
    <row r="28" spans="1:17" x14ac:dyDescent="0.2">
      <c r="A28" s="21" t="s">
        <v>21</v>
      </c>
      <c r="B28" s="20">
        <v>0</v>
      </c>
      <c r="C28" s="20">
        <v>1</v>
      </c>
      <c r="D28" s="20">
        <v>0</v>
      </c>
      <c r="E28" s="20">
        <v>2</v>
      </c>
      <c r="F28" s="20">
        <v>0</v>
      </c>
      <c r="G28" s="20">
        <v>1</v>
      </c>
      <c r="H28" s="20">
        <v>0</v>
      </c>
      <c r="I28" s="20">
        <v>0</v>
      </c>
      <c r="J28" s="20">
        <v>1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11">
        <v>5</v>
      </c>
    </row>
    <row r="29" spans="1:17" x14ac:dyDescent="0.2">
      <c r="A29" s="21" t="s">
        <v>22</v>
      </c>
      <c r="B29" s="20">
        <v>0</v>
      </c>
      <c r="C29" s="20">
        <v>1</v>
      </c>
      <c r="D29" s="20">
        <v>0</v>
      </c>
      <c r="E29" s="20">
        <v>1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1</v>
      </c>
      <c r="L29" s="20">
        <v>0</v>
      </c>
      <c r="M29" s="20">
        <v>0</v>
      </c>
      <c r="N29" s="20">
        <v>1</v>
      </c>
      <c r="O29" s="20">
        <v>2</v>
      </c>
      <c r="P29" s="20">
        <v>0</v>
      </c>
      <c r="Q29" s="11">
        <v>6</v>
      </c>
    </row>
    <row r="30" spans="1:17" x14ac:dyDescent="0.2">
      <c r="A30" s="21" t="s">
        <v>23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11">
        <v>0</v>
      </c>
    </row>
    <row r="31" spans="1:17" x14ac:dyDescent="0.2">
      <c r="A31" s="24" t="s">
        <v>7</v>
      </c>
      <c r="B31" s="24">
        <v>105</v>
      </c>
      <c r="C31" s="24">
        <v>150</v>
      </c>
      <c r="D31" s="24">
        <v>169</v>
      </c>
      <c r="E31" s="24">
        <v>186</v>
      </c>
      <c r="F31" s="24">
        <v>156</v>
      </c>
      <c r="G31" s="24">
        <v>54</v>
      </c>
      <c r="H31" s="24">
        <v>78</v>
      </c>
      <c r="I31" s="24">
        <v>153</v>
      </c>
      <c r="J31" s="24">
        <v>139</v>
      </c>
      <c r="K31" s="24">
        <v>132</v>
      </c>
      <c r="L31" s="24">
        <v>110</v>
      </c>
      <c r="M31" s="24">
        <v>114</v>
      </c>
      <c r="N31" s="24">
        <v>105</v>
      </c>
      <c r="O31" s="24">
        <v>280</v>
      </c>
      <c r="P31" s="24">
        <v>164</v>
      </c>
      <c r="Q31" s="26">
        <v>2095</v>
      </c>
    </row>
    <row r="32" spans="1:17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1"/>
    </row>
    <row r="33" spans="1:17" x14ac:dyDescent="0.2">
      <c r="A33" s="27" t="s">
        <v>11</v>
      </c>
      <c r="B33" s="28">
        <v>100</v>
      </c>
      <c r="C33" s="28">
        <v>100</v>
      </c>
      <c r="D33" s="28">
        <v>100</v>
      </c>
      <c r="E33" s="28">
        <v>100</v>
      </c>
      <c r="F33" s="28">
        <v>100</v>
      </c>
      <c r="G33" s="28">
        <v>100</v>
      </c>
      <c r="H33" s="28">
        <v>100</v>
      </c>
      <c r="I33" s="28">
        <v>100</v>
      </c>
      <c r="J33" s="28">
        <v>100</v>
      </c>
      <c r="K33" s="28">
        <v>100</v>
      </c>
      <c r="L33" s="28">
        <v>100</v>
      </c>
      <c r="M33" s="28">
        <v>100</v>
      </c>
      <c r="N33" s="28">
        <v>100</v>
      </c>
      <c r="O33" s="28">
        <v>100</v>
      </c>
      <c r="P33" s="28">
        <v>100</v>
      </c>
      <c r="Q33" s="29">
        <v>100</v>
      </c>
    </row>
    <row r="34" spans="1:17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 x14ac:dyDescent="0.2">
      <c r="A35" s="22" t="s">
        <v>25</v>
      </c>
      <c r="B35" s="12">
        <v>9</v>
      </c>
      <c r="C35" s="12">
        <v>19</v>
      </c>
      <c r="D35" s="12">
        <v>29</v>
      </c>
      <c r="E35" s="12">
        <v>39</v>
      </c>
      <c r="F35" s="12">
        <v>50</v>
      </c>
      <c r="G35" s="12">
        <v>59</v>
      </c>
      <c r="H35" s="12">
        <v>69</v>
      </c>
      <c r="I35" s="12">
        <v>79</v>
      </c>
      <c r="J35" s="12">
        <v>89</v>
      </c>
      <c r="K35" s="12">
        <v>100</v>
      </c>
      <c r="L35" s="12">
        <v>109</v>
      </c>
      <c r="M35" s="12">
        <v>119</v>
      </c>
      <c r="N35" s="12">
        <v>129</v>
      </c>
      <c r="O35" s="12">
        <v>139</v>
      </c>
      <c r="P35" s="12">
        <v>149</v>
      </c>
      <c r="Q35" s="20" t="s">
        <v>88</v>
      </c>
    </row>
    <row r="36" spans="1:17" x14ac:dyDescent="0.2">
      <c r="A36" s="12" t="s">
        <v>12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x14ac:dyDescent="0.2">
      <c r="A37" s="20" t="s">
        <v>2</v>
      </c>
      <c r="B37" s="20">
        <v>0</v>
      </c>
      <c r="C37" s="20">
        <v>40</v>
      </c>
      <c r="D37" s="20">
        <v>10</v>
      </c>
      <c r="E37" s="20">
        <v>20</v>
      </c>
      <c r="F37" s="20">
        <v>36.6666667</v>
      </c>
      <c r="G37" s="20">
        <v>10</v>
      </c>
      <c r="H37" s="20">
        <v>13.3333333</v>
      </c>
      <c r="I37" s="20">
        <v>33.3333333</v>
      </c>
      <c r="J37" s="20">
        <v>16.6666667</v>
      </c>
      <c r="K37" s="20">
        <v>36.6666667</v>
      </c>
      <c r="L37" s="20">
        <v>36.6666667</v>
      </c>
      <c r="M37" s="20">
        <v>20</v>
      </c>
      <c r="N37" s="20">
        <v>16.6666667</v>
      </c>
      <c r="O37" s="20">
        <v>10</v>
      </c>
      <c r="P37" s="20">
        <v>13.3333333</v>
      </c>
      <c r="Q37" s="20"/>
    </row>
    <row r="38" spans="1:17" x14ac:dyDescent="0.2">
      <c r="A38" s="20" t="s">
        <v>3</v>
      </c>
      <c r="B38" s="20">
        <v>0</v>
      </c>
      <c r="C38" s="20">
        <v>40</v>
      </c>
      <c r="D38" s="20">
        <v>56.6666667</v>
      </c>
      <c r="E38" s="20">
        <v>43.3333333</v>
      </c>
      <c r="F38" s="20">
        <v>36.6666667</v>
      </c>
      <c r="G38" s="20">
        <v>23.3333333</v>
      </c>
      <c r="H38" s="20">
        <v>40</v>
      </c>
      <c r="I38" s="20">
        <v>50</v>
      </c>
      <c r="J38" s="20">
        <v>46.6666667</v>
      </c>
      <c r="K38" s="20">
        <v>30</v>
      </c>
      <c r="L38" s="20">
        <v>23.3333333</v>
      </c>
      <c r="M38" s="20">
        <v>23.3333333</v>
      </c>
      <c r="N38" s="20">
        <v>43.3333333</v>
      </c>
      <c r="O38" s="20">
        <v>36.6666667</v>
      </c>
      <c r="P38" s="20">
        <v>43.3333333</v>
      </c>
      <c r="Q38" s="20"/>
    </row>
    <row r="39" spans="1:17" x14ac:dyDescent="0.2">
      <c r="A39" s="20" t="s">
        <v>4</v>
      </c>
      <c r="B39" s="20">
        <v>100</v>
      </c>
      <c r="C39" s="20">
        <v>20</v>
      </c>
      <c r="D39" s="20">
        <v>26.6666667</v>
      </c>
      <c r="E39" s="20">
        <v>26.6666667</v>
      </c>
      <c r="F39" s="20">
        <v>26.6666667</v>
      </c>
      <c r="G39" s="20">
        <v>66.666666699999993</v>
      </c>
      <c r="H39" s="20">
        <v>40</v>
      </c>
      <c r="I39" s="20">
        <v>3.3333333299999999</v>
      </c>
      <c r="J39" s="20">
        <v>16.6666667</v>
      </c>
      <c r="K39" s="20">
        <v>30</v>
      </c>
      <c r="L39" s="20">
        <v>20</v>
      </c>
      <c r="M39" s="20">
        <v>40</v>
      </c>
      <c r="N39" s="20">
        <v>36.6666667</v>
      </c>
      <c r="O39" s="20">
        <v>53.3333333</v>
      </c>
      <c r="P39" s="20">
        <v>33.3333333</v>
      </c>
      <c r="Q39" s="20"/>
    </row>
    <row r="40" spans="1:17" x14ac:dyDescent="0.2">
      <c r="A40" s="20" t="s">
        <v>5</v>
      </c>
      <c r="B40" s="20">
        <v>0</v>
      </c>
      <c r="C40" s="20">
        <v>0</v>
      </c>
      <c r="D40" s="20">
        <v>6.6666666699999997</v>
      </c>
      <c r="E40" s="20">
        <v>10</v>
      </c>
      <c r="F40" s="20">
        <v>0</v>
      </c>
      <c r="G40" s="20">
        <v>0</v>
      </c>
      <c r="H40" s="20">
        <v>6.6666666699999997</v>
      </c>
      <c r="I40" s="20">
        <v>13.3333333</v>
      </c>
      <c r="J40" s="20">
        <v>20</v>
      </c>
      <c r="K40" s="20">
        <v>3.3333333299999999</v>
      </c>
      <c r="L40" s="20">
        <v>20</v>
      </c>
      <c r="M40" s="20">
        <v>16.6666667</v>
      </c>
      <c r="N40" s="20">
        <v>3.3333333299999999</v>
      </c>
      <c r="O40" s="20">
        <v>0</v>
      </c>
      <c r="P40" s="20">
        <v>10</v>
      </c>
      <c r="Q40" s="20"/>
    </row>
    <row r="41" spans="1:17" x14ac:dyDescent="0.2">
      <c r="A41" s="12" t="s">
        <v>13</v>
      </c>
      <c r="B41" s="20">
        <v>100</v>
      </c>
      <c r="C41" s="20">
        <v>100</v>
      </c>
      <c r="D41" s="20">
        <v>100</v>
      </c>
      <c r="E41" s="20">
        <v>100</v>
      </c>
      <c r="F41" s="20">
        <v>100</v>
      </c>
      <c r="G41" s="20">
        <v>100</v>
      </c>
      <c r="H41" s="20">
        <v>100</v>
      </c>
      <c r="I41" s="20">
        <v>100</v>
      </c>
      <c r="J41" s="20">
        <v>100</v>
      </c>
      <c r="K41" s="20">
        <v>100</v>
      </c>
      <c r="L41" s="20">
        <v>100</v>
      </c>
      <c r="M41" s="20">
        <v>100</v>
      </c>
      <c r="N41" s="20">
        <v>100</v>
      </c>
      <c r="O41" s="20">
        <v>100</v>
      </c>
      <c r="P41" s="20">
        <v>100</v>
      </c>
      <c r="Q41" s="20"/>
    </row>
    <row r="43" spans="1:17" x14ac:dyDescent="0.2">
      <c r="A43" s="1"/>
    </row>
    <row r="44" spans="1:17" x14ac:dyDescent="0.2">
      <c r="A44" s="22" t="s">
        <v>25</v>
      </c>
      <c r="B44" s="12">
        <v>9</v>
      </c>
      <c r="C44" s="12">
        <v>19</v>
      </c>
      <c r="D44" s="12">
        <v>29</v>
      </c>
      <c r="E44" s="12">
        <v>39</v>
      </c>
      <c r="F44" s="12">
        <v>50</v>
      </c>
      <c r="G44" s="12">
        <v>59</v>
      </c>
      <c r="H44" s="12">
        <v>69</v>
      </c>
      <c r="I44" s="12">
        <v>79</v>
      </c>
      <c r="J44" s="12">
        <v>89</v>
      </c>
      <c r="K44" s="12">
        <v>100</v>
      </c>
      <c r="L44" s="12">
        <v>109</v>
      </c>
      <c r="M44" s="12">
        <v>119</v>
      </c>
      <c r="N44" s="12">
        <v>129</v>
      </c>
      <c r="O44" s="12">
        <v>139</v>
      </c>
      <c r="P44" s="12">
        <v>149</v>
      </c>
      <c r="Q44" s="20" t="s">
        <v>88</v>
      </c>
    </row>
    <row r="45" spans="1:17" x14ac:dyDescent="0.2">
      <c r="A45" s="12" t="s">
        <v>1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3"/>
    </row>
    <row r="46" spans="1:17" x14ac:dyDescent="0.2">
      <c r="A46" s="20" t="s">
        <v>103</v>
      </c>
      <c r="B46" s="20">
        <f>B37*(B$50/100)</f>
        <v>0</v>
      </c>
      <c r="C46" s="20">
        <f t="shared" ref="C46:P46" si="0">C37*(C$50/100)</f>
        <v>19.066666680000001</v>
      </c>
      <c r="D46" s="20">
        <f t="shared" si="0"/>
        <v>2.9333333000000001</v>
      </c>
      <c r="E46" s="20">
        <f t="shared" si="0"/>
        <v>5.0666666000000005</v>
      </c>
      <c r="F46" s="20">
        <f t="shared" si="0"/>
        <v>17.111111248888886</v>
      </c>
      <c r="G46" s="20">
        <f t="shared" si="0"/>
        <v>4.9333333000000001</v>
      </c>
      <c r="H46" s="20">
        <f t="shared" si="0"/>
        <v>7.0666666490000001</v>
      </c>
      <c r="I46" s="20">
        <f t="shared" si="0"/>
        <v>12.111110987888889</v>
      </c>
      <c r="J46" s="20">
        <f t="shared" si="0"/>
        <v>6.2222221791111112</v>
      </c>
      <c r="K46" s="20">
        <f t="shared" si="0"/>
        <v>12.466666678000001</v>
      </c>
      <c r="L46" s="20">
        <f t="shared" si="0"/>
        <v>20.04444458488889</v>
      </c>
      <c r="M46" s="20">
        <f t="shared" si="0"/>
        <v>8.8000000000000007</v>
      </c>
      <c r="N46" s="20">
        <f t="shared" si="0"/>
        <v>7.0000000140000003</v>
      </c>
      <c r="O46" s="20">
        <f t="shared" si="0"/>
        <v>2.7666667</v>
      </c>
      <c r="P46" s="20">
        <f t="shared" si="0"/>
        <v>4.3999999890000003</v>
      </c>
      <c r="Q46" s="11"/>
    </row>
    <row r="47" spans="1:17" x14ac:dyDescent="0.2">
      <c r="A47" s="20" t="s">
        <v>102</v>
      </c>
      <c r="B47" s="20">
        <f>B38*(B$50/100)</f>
        <v>0</v>
      </c>
      <c r="C47" s="20">
        <f t="shared" ref="C47:P47" si="1">C38*(C$50/100)</f>
        <v>19.066666680000001</v>
      </c>
      <c r="D47" s="20">
        <f t="shared" si="1"/>
        <v>16.622222043111112</v>
      </c>
      <c r="E47" s="20">
        <f t="shared" si="1"/>
        <v>10.977777624888891</v>
      </c>
      <c r="F47" s="20">
        <f t="shared" si="1"/>
        <v>17.111111248888886</v>
      </c>
      <c r="G47" s="20">
        <f t="shared" si="1"/>
        <v>11.51111101688889</v>
      </c>
      <c r="H47" s="20">
        <f t="shared" si="1"/>
        <v>21.200000000000003</v>
      </c>
      <c r="I47" s="20">
        <f t="shared" si="1"/>
        <v>18.166666500000002</v>
      </c>
      <c r="J47" s="20">
        <f t="shared" si="1"/>
        <v>17.422222079111112</v>
      </c>
      <c r="K47" s="20">
        <f t="shared" si="1"/>
        <v>10.200000000000001</v>
      </c>
      <c r="L47" s="20">
        <f t="shared" si="1"/>
        <v>12.755555615111112</v>
      </c>
      <c r="M47" s="20">
        <f t="shared" si="1"/>
        <v>10.266666652</v>
      </c>
      <c r="N47" s="20">
        <f t="shared" si="1"/>
        <v>18.199999985999998</v>
      </c>
      <c r="O47" s="20">
        <f t="shared" si="1"/>
        <v>10.144444575888889</v>
      </c>
      <c r="P47" s="20">
        <f t="shared" si="1"/>
        <v>14.299999989</v>
      </c>
      <c r="Q47" s="11"/>
    </row>
    <row r="48" spans="1:17" x14ac:dyDescent="0.2">
      <c r="A48" s="20" t="s">
        <v>104</v>
      </c>
      <c r="B48" s="20">
        <f t="shared" ref="B48:P49" si="2">B39*(B$50/100)</f>
        <v>0.66666667000000002</v>
      </c>
      <c r="C48" s="20">
        <f t="shared" si="2"/>
        <v>9.5333333400000004</v>
      </c>
      <c r="D48" s="20">
        <f t="shared" si="2"/>
        <v>7.8222221431111114</v>
      </c>
      <c r="E48" s="20">
        <f t="shared" si="2"/>
        <v>6.7555554751111115</v>
      </c>
      <c r="F48" s="20">
        <f t="shared" si="2"/>
        <v>12.444444548888887</v>
      </c>
      <c r="G48" s="20">
        <f t="shared" si="2"/>
        <v>32.888888683111105</v>
      </c>
      <c r="H48" s="20">
        <f t="shared" si="2"/>
        <v>21.200000000000003</v>
      </c>
      <c r="I48" s="20">
        <f t="shared" si="2"/>
        <v>1.2111110987888889</v>
      </c>
      <c r="J48" s="20">
        <f t="shared" si="2"/>
        <v>6.2222221791111112</v>
      </c>
      <c r="K48" s="20">
        <f t="shared" si="2"/>
        <v>10.200000000000001</v>
      </c>
      <c r="L48" s="20">
        <f t="shared" si="2"/>
        <v>10.9333334</v>
      </c>
      <c r="M48" s="20">
        <f t="shared" si="2"/>
        <v>17.600000000000001</v>
      </c>
      <c r="N48" s="20">
        <f t="shared" si="2"/>
        <v>15.400000014</v>
      </c>
      <c r="O48" s="20">
        <f t="shared" si="2"/>
        <v>14.755555724111112</v>
      </c>
      <c r="P48" s="20">
        <f t="shared" si="2"/>
        <v>10.999999989000001</v>
      </c>
      <c r="Q48" s="11"/>
    </row>
    <row r="49" spans="1:17" x14ac:dyDescent="0.2">
      <c r="A49" s="20" t="s">
        <v>105</v>
      </c>
      <c r="B49" s="20">
        <f t="shared" si="2"/>
        <v>0</v>
      </c>
      <c r="C49" s="20">
        <f t="shared" si="2"/>
        <v>0</v>
      </c>
      <c r="D49" s="20">
        <f t="shared" si="2"/>
        <v>1.9555555343111111</v>
      </c>
      <c r="E49" s="20">
        <f t="shared" si="2"/>
        <v>2.5333333000000002</v>
      </c>
      <c r="F49" s="20">
        <f t="shared" si="2"/>
        <v>0</v>
      </c>
      <c r="G49" s="20">
        <f t="shared" si="2"/>
        <v>0</v>
      </c>
      <c r="H49" s="20">
        <f t="shared" si="2"/>
        <v>3.5333333351</v>
      </c>
      <c r="I49" s="20">
        <f t="shared" si="2"/>
        <v>4.8444443878888892</v>
      </c>
      <c r="J49" s="20">
        <f t="shared" si="2"/>
        <v>7.4666665999999999</v>
      </c>
      <c r="K49" s="20">
        <f t="shared" si="2"/>
        <v>1.1333333322000001</v>
      </c>
      <c r="L49" s="20">
        <f t="shared" si="2"/>
        <v>10.9333334</v>
      </c>
      <c r="M49" s="20">
        <f t="shared" si="2"/>
        <v>7.333333348</v>
      </c>
      <c r="N49" s="20">
        <f t="shared" si="2"/>
        <v>1.3999999985999998</v>
      </c>
      <c r="O49" s="20">
        <f t="shared" si="2"/>
        <v>0</v>
      </c>
      <c r="P49" s="20">
        <f t="shared" si="2"/>
        <v>3.3000000000000003</v>
      </c>
      <c r="Q49" s="11"/>
    </row>
    <row r="50" spans="1:17" x14ac:dyDescent="0.2">
      <c r="A50" s="24" t="s">
        <v>99</v>
      </c>
      <c r="B50" s="31">
        <v>0.66666667000000002</v>
      </c>
      <c r="C50" s="34">
        <v>47.6666667</v>
      </c>
      <c r="D50" s="33">
        <v>29.333333</v>
      </c>
      <c r="E50" s="33">
        <v>25.333333</v>
      </c>
      <c r="F50" s="33">
        <v>46.666666999999997</v>
      </c>
      <c r="G50" s="33">
        <v>49.333333000000003</v>
      </c>
      <c r="H50" s="33">
        <v>53</v>
      </c>
      <c r="I50" s="33">
        <v>36.333333000000003</v>
      </c>
      <c r="J50" s="33">
        <v>37.333333000000003</v>
      </c>
      <c r="K50" s="33">
        <v>34</v>
      </c>
      <c r="L50" s="33">
        <v>54.666666999999997</v>
      </c>
      <c r="M50" s="33">
        <v>44</v>
      </c>
      <c r="N50" s="33">
        <v>42</v>
      </c>
      <c r="O50" s="33">
        <v>27.666667</v>
      </c>
      <c r="P50" s="33">
        <v>33</v>
      </c>
      <c r="Q50" s="25">
        <v>37.4</v>
      </c>
    </row>
    <row r="51" spans="1:17" x14ac:dyDescent="0.2">
      <c r="A51" s="12" t="s">
        <v>6</v>
      </c>
      <c r="B51" s="32">
        <f>B8*(B$11/100)</f>
        <v>16.999999767456618</v>
      </c>
      <c r="C51" s="32">
        <f t="shared" ref="C51:P51" si="3">C8*(C$11/100)</f>
        <v>3.666666663</v>
      </c>
      <c r="D51" s="32">
        <f t="shared" si="3"/>
        <v>5.6666666610000007</v>
      </c>
      <c r="E51" s="32">
        <f t="shared" si="3"/>
        <v>9.9999998500796021</v>
      </c>
      <c r="F51" s="32">
        <f t="shared" si="3"/>
        <v>0</v>
      </c>
      <c r="G51" s="32">
        <f t="shared" si="3"/>
        <v>0</v>
      </c>
      <c r="H51" s="32">
        <f t="shared" si="3"/>
        <v>3.0000000143448275</v>
      </c>
      <c r="I51" s="32">
        <f t="shared" si="3"/>
        <v>10.666666816862746</v>
      </c>
      <c r="J51" s="32">
        <f t="shared" si="3"/>
        <v>8.3333331541739124</v>
      </c>
      <c r="K51" s="32">
        <f t="shared" si="3"/>
        <v>2.999999906892473</v>
      </c>
      <c r="L51" s="32">
        <f t="shared" si="3"/>
        <v>3.9999998770196079</v>
      </c>
      <c r="M51" s="32">
        <f t="shared" si="3"/>
        <v>8.666666674</v>
      </c>
      <c r="N51" s="32">
        <f t="shared" si="3"/>
        <v>2.333333332</v>
      </c>
      <c r="O51" s="32">
        <f t="shared" si="3"/>
        <v>1.6666667098787882</v>
      </c>
      <c r="P51" s="32">
        <f t="shared" si="3"/>
        <v>8.3333334832429387</v>
      </c>
      <c r="Q51" s="11"/>
    </row>
    <row r="52" spans="1:17" x14ac:dyDescent="0.2">
      <c r="A52" s="20" t="s">
        <v>34</v>
      </c>
      <c r="B52" s="32">
        <f>B9*(B$11/100)</f>
        <v>2.3333333023698626</v>
      </c>
      <c r="C52" s="32">
        <f t="shared" ref="C52:P52" si="4">C9*(C$11/100)</f>
        <v>0</v>
      </c>
      <c r="D52" s="32">
        <f t="shared" si="4"/>
        <v>2.0000000029999998</v>
      </c>
      <c r="E52" s="32">
        <f t="shared" si="4"/>
        <v>3.3333332759154231</v>
      </c>
      <c r="F52" s="32">
        <f t="shared" si="4"/>
        <v>0</v>
      </c>
      <c r="G52" s="32">
        <f t="shared" si="4"/>
        <v>0</v>
      </c>
      <c r="H52" s="32">
        <f t="shared" si="4"/>
        <v>0</v>
      </c>
      <c r="I52" s="32">
        <f t="shared" si="4"/>
        <v>0</v>
      </c>
      <c r="J52" s="32">
        <f t="shared" si="4"/>
        <v>0.33333332555362316</v>
      </c>
      <c r="K52" s="32">
        <f t="shared" si="4"/>
        <v>0</v>
      </c>
      <c r="L52" s="32">
        <f t="shared" si="4"/>
        <v>0</v>
      </c>
      <c r="M52" s="32">
        <f t="shared" si="4"/>
        <v>0</v>
      </c>
      <c r="N52" s="32">
        <f t="shared" si="4"/>
        <v>0</v>
      </c>
      <c r="O52" s="32">
        <f t="shared" si="4"/>
        <v>0.66666668248484839</v>
      </c>
      <c r="P52" s="32">
        <f t="shared" si="4"/>
        <v>0</v>
      </c>
      <c r="Q52" s="11"/>
    </row>
    <row r="53" spans="1:17" x14ac:dyDescent="0.2">
      <c r="A53" s="20" t="s">
        <v>47</v>
      </c>
      <c r="B53" s="32">
        <f t="shared" ref="B53:P53" si="5">B10*(B$11/100)</f>
        <v>4.9999999301735158</v>
      </c>
      <c r="C53" s="32">
        <f t="shared" si="5"/>
        <v>5.3333333369999991</v>
      </c>
      <c r="D53" s="32">
        <f t="shared" si="5"/>
        <v>9.3333333360000008</v>
      </c>
      <c r="E53" s="32">
        <f t="shared" si="5"/>
        <v>8.999999874004974</v>
      </c>
      <c r="F53" s="32">
        <f t="shared" si="5"/>
        <v>16.333333</v>
      </c>
      <c r="G53" s="32">
        <f t="shared" si="5"/>
        <v>5</v>
      </c>
      <c r="H53" s="32">
        <f t="shared" si="5"/>
        <v>6.666666685655172</v>
      </c>
      <c r="I53" s="32">
        <f t="shared" si="5"/>
        <v>12.000000183137255</v>
      </c>
      <c r="J53" s="32">
        <f t="shared" si="5"/>
        <v>6.6666665264057965</v>
      </c>
      <c r="K53" s="32">
        <f t="shared" si="5"/>
        <v>7.3333330931075267</v>
      </c>
      <c r="L53" s="32">
        <f t="shared" si="5"/>
        <v>7.3333331229803909</v>
      </c>
      <c r="M53" s="32">
        <f t="shared" si="5"/>
        <v>8.3333333260000018</v>
      </c>
      <c r="N53" s="32">
        <f t="shared" si="5"/>
        <v>8.6666666679999995</v>
      </c>
      <c r="O53" s="32">
        <f t="shared" si="5"/>
        <v>12.333333614969698</v>
      </c>
      <c r="P53" s="32">
        <f t="shared" si="5"/>
        <v>11.333333516757063</v>
      </c>
      <c r="Q53" s="11"/>
    </row>
    <row r="54" spans="1:17" x14ac:dyDescent="0.2">
      <c r="A54" s="24" t="s">
        <v>98</v>
      </c>
      <c r="B54" s="33"/>
      <c r="C54" s="34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25">
        <v>15.0444444</v>
      </c>
    </row>
    <row r="55" spans="1:17" x14ac:dyDescent="0.2">
      <c r="A55" s="12" t="s">
        <v>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11"/>
    </row>
    <row r="56" spans="1:17" x14ac:dyDescent="0.2">
      <c r="A56" s="1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11"/>
    </row>
    <row r="57" spans="1:17" x14ac:dyDescent="0.2">
      <c r="A57" s="1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11"/>
    </row>
    <row r="58" spans="1:17" x14ac:dyDescent="0.2">
      <c r="A58" s="20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11"/>
    </row>
    <row r="59" spans="1:17" x14ac:dyDescent="0.2">
      <c r="A59" s="24" t="s">
        <v>97</v>
      </c>
      <c r="B59" s="33">
        <v>30.333333</v>
      </c>
      <c r="C59" s="34">
        <v>21.6666667</v>
      </c>
      <c r="D59" s="33">
        <v>42</v>
      </c>
      <c r="E59" s="33">
        <v>33.333333000000003</v>
      </c>
      <c r="F59" s="33">
        <v>22.333333</v>
      </c>
      <c r="G59" s="33">
        <v>40.333333000000003</v>
      </c>
      <c r="H59" s="33">
        <v>24.666667</v>
      </c>
      <c r="I59" s="33">
        <v>25.333333</v>
      </c>
      <c r="J59" s="33">
        <v>35.333333000000003</v>
      </c>
      <c r="K59" s="33">
        <v>36</v>
      </c>
      <c r="L59" s="33">
        <v>29</v>
      </c>
      <c r="M59" s="33">
        <v>32.666666999999997</v>
      </c>
      <c r="N59" s="33">
        <v>30.666667</v>
      </c>
      <c r="O59" s="33">
        <v>32</v>
      </c>
      <c r="P59" s="33">
        <v>31.666667</v>
      </c>
      <c r="Q59" s="25">
        <v>31.1555556</v>
      </c>
    </row>
    <row r="60" spans="1:17" x14ac:dyDescent="0.2">
      <c r="A60" s="12" t="s">
        <v>9</v>
      </c>
      <c r="B60" s="32">
        <f>B17*(B$23/100)</f>
        <v>2.3686868850101006</v>
      </c>
      <c r="C60" s="32">
        <f t="shared" ref="C60:P60" si="6">C17*(C$23/100)</f>
        <v>2.9999999946153846</v>
      </c>
      <c r="D60" s="32">
        <f t="shared" si="6"/>
        <v>3.3333334319047623</v>
      </c>
      <c r="E60" s="32">
        <f t="shared" si="6"/>
        <v>2.666666663</v>
      </c>
      <c r="F60" s="32">
        <f t="shared" si="6"/>
        <v>13.333333635030302</v>
      </c>
      <c r="G60" s="32">
        <f t="shared" si="6"/>
        <v>5.3333332999999996</v>
      </c>
      <c r="H60" s="32">
        <f t="shared" si="6"/>
        <v>8.3333335546315794</v>
      </c>
      <c r="I60" s="32">
        <f t="shared" si="6"/>
        <v>7.3333334833617023</v>
      </c>
      <c r="J60" s="32">
        <f t="shared" si="6"/>
        <v>3</v>
      </c>
      <c r="K60" s="32">
        <f t="shared" si="6"/>
        <v>13.666666893638419</v>
      </c>
      <c r="L60" s="32">
        <f t="shared" si="6"/>
        <v>5</v>
      </c>
      <c r="M60" s="32">
        <f t="shared" si="6"/>
        <v>1.9999999914736839</v>
      </c>
      <c r="N60" s="32">
        <f t="shared" si="6"/>
        <v>4.6666665760952384</v>
      </c>
      <c r="O60" s="32">
        <f t="shared" si="6"/>
        <v>0</v>
      </c>
      <c r="P60" s="32">
        <f t="shared" si="6"/>
        <v>1.0000000207432624</v>
      </c>
      <c r="Q60" s="11"/>
    </row>
    <row r="61" spans="1:17" x14ac:dyDescent="0.2">
      <c r="A61" s="21" t="s">
        <v>14</v>
      </c>
      <c r="B61" s="32">
        <f t="shared" ref="B61:P61" si="7">B18*(B$23/100)</f>
        <v>42.297980114989898</v>
      </c>
      <c r="C61" s="32">
        <f t="shared" si="7"/>
        <v>18.666666705384618</v>
      </c>
      <c r="D61" s="32">
        <f t="shared" si="7"/>
        <v>8.3333335680952381</v>
      </c>
      <c r="E61" s="32">
        <f t="shared" si="7"/>
        <v>16.333333336999999</v>
      </c>
      <c r="F61" s="32">
        <f t="shared" si="7"/>
        <v>1.3333333635030302</v>
      </c>
      <c r="G61" s="32">
        <f t="shared" si="7"/>
        <v>0</v>
      </c>
      <c r="H61" s="32">
        <f t="shared" si="7"/>
        <v>0.66666668361052628</v>
      </c>
      <c r="I61" s="32">
        <f t="shared" si="7"/>
        <v>7.3333334833617023</v>
      </c>
      <c r="J61" s="32">
        <f t="shared" si="7"/>
        <v>1.666666668</v>
      </c>
      <c r="K61" s="32">
        <f t="shared" si="7"/>
        <v>4.666666753762712</v>
      </c>
      <c r="L61" s="32">
        <f t="shared" si="7"/>
        <v>0</v>
      </c>
      <c r="M61" s="32">
        <f t="shared" si="7"/>
        <v>4.3333333085263153</v>
      </c>
      <c r="N61" s="32">
        <f t="shared" si="7"/>
        <v>8.6666664914625855</v>
      </c>
      <c r="O61" s="32">
        <f t="shared" si="7"/>
        <v>25.016877954227844</v>
      </c>
      <c r="P61" s="32">
        <f t="shared" si="7"/>
        <v>14.33333363796454</v>
      </c>
      <c r="Q61" s="11"/>
    </row>
    <row r="62" spans="1:17" x14ac:dyDescent="0.2">
      <c r="A62" s="20" t="s">
        <v>26</v>
      </c>
      <c r="B62" s="32">
        <f t="shared" ref="B62:P62" si="8">B19*(B$23/100)</f>
        <v>0</v>
      </c>
      <c r="C62" s="32">
        <f t="shared" si="8"/>
        <v>0</v>
      </c>
      <c r="D62" s="32">
        <f t="shared" si="8"/>
        <v>0</v>
      </c>
      <c r="E62" s="32">
        <f t="shared" si="8"/>
        <v>0</v>
      </c>
      <c r="F62" s="32">
        <f t="shared" si="8"/>
        <v>0</v>
      </c>
      <c r="G62" s="32">
        <f t="shared" si="8"/>
        <v>0</v>
      </c>
      <c r="H62" s="32">
        <f t="shared" si="8"/>
        <v>0</v>
      </c>
      <c r="I62" s="32">
        <f t="shared" si="8"/>
        <v>0</v>
      </c>
      <c r="J62" s="32">
        <f t="shared" si="8"/>
        <v>0</v>
      </c>
      <c r="K62" s="32">
        <f t="shared" si="8"/>
        <v>0</v>
      </c>
      <c r="L62" s="32">
        <f t="shared" si="8"/>
        <v>0</v>
      </c>
      <c r="M62" s="32">
        <f t="shared" si="8"/>
        <v>0</v>
      </c>
      <c r="N62" s="32">
        <f t="shared" si="8"/>
        <v>0</v>
      </c>
      <c r="O62" s="32">
        <f t="shared" si="8"/>
        <v>0</v>
      </c>
      <c r="P62" s="32">
        <f t="shared" si="8"/>
        <v>0</v>
      </c>
      <c r="Q62" s="11"/>
    </row>
    <row r="63" spans="1:17" x14ac:dyDescent="0.2">
      <c r="A63" s="20" t="s">
        <v>65</v>
      </c>
      <c r="B63" s="32">
        <f t="shared" ref="B63:P63" si="9">B20*(B$23/100)</f>
        <v>0</v>
      </c>
      <c r="C63" s="32">
        <f t="shared" si="9"/>
        <v>0</v>
      </c>
      <c r="D63" s="32">
        <f t="shared" si="9"/>
        <v>0</v>
      </c>
      <c r="E63" s="32">
        <f t="shared" si="9"/>
        <v>0</v>
      </c>
      <c r="F63" s="32">
        <f t="shared" si="9"/>
        <v>0</v>
      </c>
      <c r="G63" s="32">
        <f t="shared" si="9"/>
        <v>0</v>
      </c>
      <c r="H63" s="32">
        <f t="shared" si="9"/>
        <v>0</v>
      </c>
      <c r="I63" s="32">
        <f t="shared" si="9"/>
        <v>0</v>
      </c>
      <c r="J63" s="32">
        <f t="shared" si="9"/>
        <v>0</v>
      </c>
      <c r="K63" s="32">
        <f t="shared" si="9"/>
        <v>0.66666667826610171</v>
      </c>
      <c r="L63" s="32">
        <f t="shared" si="9"/>
        <v>0</v>
      </c>
      <c r="M63" s="32">
        <f t="shared" si="9"/>
        <v>0</v>
      </c>
      <c r="N63" s="32">
        <f t="shared" si="9"/>
        <v>0</v>
      </c>
      <c r="O63" s="32">
        <f t="shared" si="9"/>
        <v>0</v>
      </c>
      <c r="P63" s="32">
        <f t="shared" si="9"/>
        <v>0</v>
      </c>
      <c r="Q63" s="11"/>
    </row>
    <row r="64" spans="1:17" x14ac:dyDescent="0.2">
      <c r="A64" s="20" t="s">
        <v>66</v>
      </c>
      <c r="B64" s="32">
        <f t="shared" ref="B64:P64" si="10">B21*(B$23/100)</f>
        <v>0</v>
      </c>
      <c r="C64" s="32">
        <f t="shared" si="10"/>
        <v>0</v>
      </c>
      <c r="D64" s="32">
        <f t="shared" si="10"/>
        <v>0</v>
      </c>
      <c r="E64" s="32">
        <f t="shared" si="10"/>
        <v>0</v>
      </c>
      <c r="F64" s="32">
        <f t="shared" si="10"/>
        <v>0</v>
      </c>
      <c r="G64" s="32">
        <f t="shared" si="10"/>
        <v>0</v>
      </c>
      <c r="H64" s="32">
        <f t="shared" si="10"/>
        <v>3.666666760491228</v>
      </c>
      <c r="I64" s="32">
        <f t="shared" si="10"/>
        <v>0.66666668101773052</v>
      </c>
      <c r="J64" s="32">
        <f t="shared" si="10"/>
        <v>7.3333333319999996</v>
      </c>
      <c r="K64" s="32">
        <f t="shared" si="10"/>
        <v>0.66666667826610171</v>
      </c>
      <c r="L64" s="32">
        <f t="shared" si="10"/>
        <v>0</v>
      </c>
      <c r="M64" s="32">
        <f t="shared" si="10"/>
        <v>0</v>
      </c>
      <c r="N64" s="32">
        <f t="shared" si="10"/>
        <v>2.9999999324421771</v>
      </c>
      <c r="O64" s="32">
        <f t="shared" si="10"/>
        <v>0.64978903807215183</v>
      </c>
      <c r="P64" s="32">
        <f t="shared" si="10"/>
        <v>0.33333333972553192</v>
      </c>
      <c r="Q64" s="11"/>
    </row>
    <row r="65" spans="1:17" x14ac:dyDescent="0.2">
      <c r="A65" s="20" t="s">
        <v>89</v>
      </c>
      <c r="B65" s="32">
        <f t="shared" ref="B65:P65" si="11">B22*(B$23/100)</f>
        <v>0</v>
      </c>
      <c r="C65" s="32">
        <f t="shared" si="11"/>
        <v>0</v>
      </c>
      <c r="D65" s="32">
        <f t="shared" si="11"/>
        <v>0</v>
      </c>
      <c r="E65" s="32">
        <f t="shared" si="11"/>
        <v>0</v>
      </c>
      <c r="F65" s="32">
        <f t="shared" si="11"/>
        <v>0</v>
      </c>
      <c r="G65" s="32">
        <f t="shared" si="11"/>
        <v>0</v>
      </c>
      <c r="H65" s="32">
        <f t="shared" si="11"/>
        <v>0</v>
      </c>
      <c r="I65" s="32">
        <f t="shared" si="11"/>
        <v>0.33333333972553192</v>
      </c>
      <c r="J65" s="32">
        <f t="shared" si="11"/>
        <v>0</v>
      </c>
      <c r="K65" s="32">
        <f t="shared" si="11"/>
        <v>0</v>
      </c>
      <c r="L65" s="32">
        <f t="shared" si="11"/>
        <v>0</v>
      </c>
      <c r="M65" s="32">
        <f t="shared" si="11"/>
        <v>0</v>
      </c>
      <c r="N65" s="32">
        <f t="shared" si="11"/>
        <v>0</v>
      </c>
      <c r="O65" s="32">
        <f t="shared" si="11"/>
        <v>0</v>
      </c>
      <c r="P65" s="32">
        <f t="shared" si="11"/>
        <v>0</v>
      </c>
      <c r="Q65" s="11"/>
    </row>
    <row r="66" spans="1:17" x14ac:dyDescent="0.2">
      <c r="A66" s="24" t="s">
        <v>96</v>
      </c>
      <c r="B66" s="33"/>
      <c r="C66" s="32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5">
        <v>16.399999999999999</v>
      </c>
    </row>
    <row r="67" spans="1:17" x14ac:dyDescent="0.2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 spans="1:17" x14ac:dyDescent="0.2">
      <c r="A68" s="27" t="s">
        <v>11</v>
      </c>
      <c r="B68" s="30">
        <f>SUM(B46:B66)</f>
        <v>100.66666633999999</v>
      </c>
      <c r="C68" s="30">
        <f t="shared" ref="C68:P68" si="12">SUM(C46:C66)</f>
        <v>147.6666668</v>
      </c>
      <c r="D68" s="30">
        <f t="shared" si="12"/>
        <v>129.33333302053333</v>
      </c>
      <c r="E68" s="30">
        <f t="shared" si="12"/>
        <v>125.33333200000001</v>
      </c>
      <c r="F68" s="30">
        <f t="shared" si="12"/>
        <v>146.6666670452</v>
      </c>
      <c r="G68" s="30">
        <f t="shared" si="12"/>
        <v>149.3333323</v>
      </c>
      <c r="H68" s="30">
        <f t="shared" si="12"/>
        <v>153.00000068283333</v>
      </c>
      <c r="I68" s="30">
        <f t="shared" si="12"/>
        <v>136.33333296203335</v>
      </c>
      <c r="J68" s="30">
        <f t="shared" si="12"/>
        <v>137.33333204346667</v>
      </c>
      <c r="K68" s="30">
        <f t="shared" si="12"/>
        <v>134.00000001413332</v>
      </c>
      <c r="L68" s="30">
        <f t="shared" si="12"/>
        <v>154.66666700000002</v>
      </c>
      <c r="M68" s="30">
        <f t="shared" si="12"/>
        <v>144.00000029999998</v>
      </c>
      <c r="N68" s="30">
        <f t="shared" si="12"/>
        <v>142.0000000126</v>
      </c>
      <c r="O68" s="30">
        <f t="shared" si="12"/>
        <v>127.66666799963335</v>
      </c>
      <c r="P68" s="30">
        <f t="shared" si="12"/>
        <v>133.00000096543334</v>
      </c>
      <c r="Q68" s="29">
        <v>100</v>
      </c>
    </row>
  </sheetData>
  <conditionalFormatting sqref="B68:P68">
    <cfRule type="cellIs" dxfId="60" priority="1" operator="lessThan">
      <formula>100</formula>
    </cfRule>
    <cfRule type="cellIs" dxfId="59" priority="2" operator="equal"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F5DE-F783-4E08-9CE5-892838FACCA6}">
  <dimension ref="A1:Q44"/>
  <sheetViews>
    <sheetView topLeftCell="A16" workbookViewId="0">
      <selection sqref="A1:H16"/>
    </sheetView>
  </sheetViews>
  <sheetFormatPr baseColWidth="10" defaultColWidth="8.83203125" defaultRowHeight="16" x14ac:dyDescent="0.2"/>
  <sheetData>
    <row r="1" spans="1:9" x14ac:dyDescent="0.2">
      <c r="A1" t="s">
        <v>100</v>
      </c>
      <c r="B1" t="s">
        <v>101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9" x14ac:dyDescent="0.2">
      <c r="A2">
        <v>9</v>
      </c>
      <c r="B2">
        <v>16</v>
      </c>
      <c r="C2">
        <v>95.238095238095227</v>
      </c>
      <c r="D2">
        <v>3.8095238095238098</v>
      </c>
      <c r="E2">
        <v>0.95238095238095244</v>
      </c>
      <c r="F2">
        <v>0</v>
      </c>
      <c r="G2">
        <v>0</v>
      </c>
      <c r="H2">
        <v>0</v>
      </c>
      <c r="I2">
        <f>SUM(C2:H2)</f>
        <v>99.999999999999986</v>
      </c>
    </row>
    <row r="3" spans="1:9" x14ac:dyDescent="0.2">
      <c r="A3">
        <v>19</v>
      </c>
      <c r="B3">
        <v>125</v>
      </c>
      <c r="C3">
        <v>86.666666666666671</v>
      </c>
      <c r="D3">
        <v>8</v>
      </c>
      <c r="E3">
        <v>4</v>
      </c>
      <c r="F3">
        <v>0.66666666666666674</v>
      </c>
      <c r="G3">
        <v>0.66666666666666674</v>
      </c>
      <c r="H3">
        <v>0</v>
      </c>
      <c r="I3">
        <f t="shared" ref="I3:I16" si="0">SUM(C3:H3)</f>
        <v>100.00000000000001</v>
      </c>
    </row>
    <row r="4" spans="1:9" x14ac:dyDescent="0.2">
      <c r="A4">
        <v>29</v>
      </c>
      <c r="B4">
        <v>236</v>
      </c>
      <c r="C4">
        <v>97.041420118343197</v>
      </c>
      <c r="D4">
        <v>2.3668639053254439</v>
      </c>
      <c r="E4">
        <v>0.59171597633136097</v>
      </c>
      <c r="F4">
        <v>0</v>
      </c>
      <c r="G4">
        <v>0</v>
      </c>
      <c r="H4">
        <v>0</v>
      </c>
      <c r="I4">
        <f t="shared" si="0"/>
        <v>100</v>
      </c>
    </row>
    <row r="5" spans="1:9" x14ac:dyDescent="0.2">
      <c r="A5">
        <v>39</v>
      </c>
      <c r="B5">
        <v>339</v>
      </c>
      <c r="C5">
        <v>93.010752688172033</v>
      </c>
      <c r="D5">
        <v>4.3010752688172049</v>
      </c>
      <c r="E5">
        <v>1.0752688172043012</v>
      </c>
      <c r="F5">
        <v>1.0752688172043012</v>
      </c>
      <c r="G5">
        <v>0.53763440860215062</v>
      </c>
      <c r="H5">
        <v>0</v>
      </c>
      <c r="I5">
        <f t="shared" si="0"/>
        <v>99.999999999999986</v>
      </c>
    </row>
    <row r="6" spans="1:9" x14ac:dyDescent="0.2">
      <c r="A6">
        <v>50</v>
      </c>
      <c r="B6">
        <v>427</v>
      </c>
      <c r="C6">
        <v>88.461538461538453</v>
      </c>
      <c r="D6">
        <v>10.256410256410255</v>
      </c>
      <c r="E6">
        <v>1.2820512820512819</v>
      </c>
      <c r="F6">
        <v>0</v>
      </c>
      <c r="G6">
        <v>0</v>
      </c>
      <c r="H6">
        <v>0</v>
      </c>
      <c r="I6">
        <f t="shared" si="0"/>
        <v>99.999999999999986</v>
      </c>
    </row>
    <row r="7" spans="1:9" x14ac:dyDescent="0.2">
      <c r="A7">
        <v>59</v>
      </c>
      <c r="B7">
        <v>493</v>
      </c>
      <c r="C7">
        <v>85.18518518518519</v>
      </c>
      <c r="D7">
        <v>12.962962962962962</v>
      </c>
      <c r="E7">
        <v>0</v>
      </c>
      <c r="F7">
        <v>1.8518518518518516</v>
      </c>
      <c r="G7">
        <v>0</v>
      </c>
      <c r="H7">
        <v>0</v>
      </c>
      <c r="I7">
        <f t="shared" si="0"/>
        <v>100</v>
      </c>
    </row>
    <row r="8" spans="1:9" x14ac:dyDescent="0.2">
      <c r="A8">
        <v>69</v>
      </c>
      <c r="B8">
        <v>566</v>
      </c>
      <c r="C8">
        <v>87.179487179487182</v>
      </c>
      <c r="D8">
        <v>11.538461538461538</v>
      </c>
      <c r="E8">
        <v>1.2820512820512819</v>
      </c>
      <c r="F8">
        <v>0</v>
      </c>
      <c r="G8">
        <v>0</v>
      </c>
      <c r="H8">
        <v>0</v>
      </c>
      <c r="I8">
        <f t="shared" si="0"/>
        <v>100</v>
      </c>
    </row>
    <row r="9" spans="1:9" x14ac:dyDescent="0.2">
      <c r="A9">
        <v>79</v>
      </c>
      <c r="B9">
        <v>643</v>
      </c>
      <c r="C9">
        <v>94.117647058823522</v>
      </c>
      <c r="D9">
        <v>5.8823529411764701</v>
      </c>
      <c r="E9">
        <v>0</v>
      </c>
      <c r="F9">
        <v>0</v>
      </c>
      <c r="G9">
        <v>0</v>
      </c>
      <c r="H9">
        <v>0</v>
      </c>
      <c r="I9">
        <f t="shared" si="0"/>
        <v>99.999999999999986</v>
      </c>
    </row>
    <row r="10" spans="1:9" x14ac:dyDescent="0.2">
      <c r="A10">
        <v>89</v>
      </c>
      <c r="B10">
        <v>719</v>
      </c>
      <c r="C10">
        <v>94.24460431654677</v>
      </c>
      <c r="D10">
        <v>5.0359712230215825</v>
      </c>
      <c r="E10">
        <v>0</v>
      </c>
      <c r="F10">
        <v>0.71942446043165476</v>
      </c>
      <c r="G10">
        <v>0</v>
      </c>
      <c r="H10">
        <v>0</v>
      </c>
      <c r="I10">
        <f t="shared" si="0"/>
        <v>100</v>
      </c>
    </row>
    <row r="11" spans="1:9" x14ac:dyDescent="0.2">
      <c r="A11">
        <v>100</v>
      </c>
      <c r="B11">
        <v>803</v>
      </c>
      <c r="C11">
        <v>92.424242424242422</v>
      </c>
      <c r="D11">
        <v>6.8181818181818175</v>
      </c>
      <c r="E11">
        <v>0</v>
      </c>
      <c r="F11">
        <v>0</v>
      </c>
      <c r="G11">
        <v>0.75757575757575757</v>
      </c>
      <c r="H11">
        <v>0</v>
      </c>
      <c r="I11">
        <f t="shared" si="0"/>
        <v>99.999999999999986</v>
      </c>
    </row>
    <row r="12" spans="1:9" x14ac:dyDescent="0.2">
      <c r="A12">
        <v>109</v>
      </c>
      <c r="B12">
        <v>875</v>
      </c>
      <c r="C12">
        <v>99.090909090909093</v>
      </c>
      <c r="D12">
        <v>0.90909090909090906</v>
      </c>
      <c r="E12">
        <v>0</v>
      </c>
      <c r="F12">
        <v>0</v>
      </c>
      <c r="G12">
        <v>0</v>
      </c>
      <c r="H12">
        <v>0</v>
      </c>
      <c r="I12">
        <f t="shared" si="0"/>
        <v>100</v>
      </c>
    </row>
    <row r="13" spans="1:9" x14ac:dyDescent="0.2">
      <c r="A13">
        <v>119</v>
      </c>
      <c r="B13">
        <v>959</v>
      </c>
      <c r="C13">
        <v>96.491228070175438</v>
      </c>
      <c r="D13">
        <v>2.6315789473684208</v>
      </c>
      <c r="E13">
        <v>0.8771929824561403</v>
      </c>
      <c r="F13">
        <v>0</v>
      </c>
      <c r="G13">
        <v>0</v>
      </c>
      <c r="H13">
        <v>0</v>
      </c>
      <c r="I13">
        <f t="shared" si="0"/>
        <v>100</v>
      </c>
    </row>
    <row r="14" spans="1:9" x14ac:dyDescent="0.2">
      <c r="A14">
        <v>129</v>
      </c>
      <c r="B14">
        <v>1047</v>
      </c>
      <c r="C14">
        <v>94.285714285714278</v>
      </c>
      <c r="D14">
        <v>3.8095238095238098</v>
      </c>
      <c r="E14">
        <v>0.95238095238095244</v>
      </c>
      <c r="F14">
        <v>0</v>
      </c>
      <c r="G14">
        <v>0.95238095238095244</v>
      </c>
      <c r="H14">
        <v>0</v>
      </c>
      <c r="I14">
        <f t="shared" si="0"/>
        <v>99.999999999999986</v>
      </c>
    </row>
    <row r="15" spans="1:9" x14ac:dyDescent="0.2">
      <c r="A15">
        <v>139</v>
      </c>
      <c r="B15">
        <v>1134</v>
      </c>
      <c r="C15">
        <v>92.5</v>
      </c>
      <c r="D15">
        <v>5.7142857142857144</v>
      </c>
      <c r="E15">
        <v>1.0714285714285714</v>
      </c>
      <c r="F15">
        <v>0</v>
      </c>
      <c r="G15">
        <v>0.7142857142857143</v>
      </c>
      <c r="H15">
        <v>0</v>
      </c>
      <c r="I15">
        <f t="shared" si="0"/>
        <v>99.999999999999986</v>
      </c>
    </row>
    <row r="16" spans="1:9" x14ac:dyDescent="0.2">
      <c r="A16">
        <v>149</v>
      </c>
      <c r="B16">
        <v>1228</v>
      </c>
      <c r="C16">
        <v>93.902439024390233</v>
      </c>
      <c r="D16">
        <v>4.8780487804878048</v>
      </c>
      <c r="E16">
        <v>1.2195121951219512</v>
      </c>
      <c r="F16">
        <v>0</v>
      </c>
      <c r="G16">
        <v>0</v>
      </c>
      <c r="H16">
        <v>0</v>
      </c>
      <c r="I16">
        <f t="shared" si="0"/>
        <v>99.999999999999986</v>
      </c>
    </row>
    <row r="21" spans="1:17" x14ac:dyDescent="0.2">
      <c r="A21" s="22" t="s">
        <v>25</v>
      </c>
      <c r="B21" s="12">
        <v>9</v>
      </c>
      <c r="C21" s="12">
        <v>19</v>
      </c>
      <c r="D21" s="12">
        <v>29</v>
      </c>
      <c r="E21" s="12">
        <v>39</v>
      </c>
      <c r="F21" s="12">
        <v>50</v>
      </c>
      <c r="G21" s="12">
        <v>59</v>
      </c>
      <c r="H21" s="12">
        <v>69</v>
      </c>
      <c r="I21" s="12">
        <v>79</v>
      </c>
      <c r="J21" s="12">
        <v>89</v>
      </c>
      <c r="K21" s="12">
        <v>100</v>
      </c>
      <c r="L21" s="12">
        <v>109</v>
      </c>
      <c r="M21" s="12">
        <v>119</v>
      </c>
      <c r="N21" s="12">
        <v>129</v>
      </c>
      <c r="O21" s="12">
        <v>139</v>
      </c>
      <c r="P21" s="12">
        <v>149</v>
      </c>
      <c r="Q21" s="20" t="s">
        <v>88</v>
      </c>
    </row>
    <row r="22" spans="1:17" x14ac:dyDescent="0.2">
      <c r="A22" s="2" t="s">
        <v>18</v>
      </c>
      <c r="B22">
        <v>100</v>
      </c>
      <c r="C22">
        <v>130</v>
      </c>
      <c r="D22">
        <v>164</v>
      </c>
      <c r="E22">
        <v>173</v>
      </c>
      <c r="F22">
        <v>138</v>
      </c>
      <c r="G22">
        <v>46</v>
      </c>
      <c r="H22">
        <v>68</v>
      </c>
      <c r="I22">
        <v>144</v>
      </c>
      <c r="J22">
        <v>131</v>
      </c>
      <c r="K22">
        <v>122</v>
      </c>
      <c r="L22">
        <v>109</v>
      </c>
      <c r="M22">
        <v>110</v>
      </c>
      <c r="N22">
        <v>99</v>
      </c>
      <c r="O22">
        <v>259</v>
      </c>
      <c r="P22">
        <v>154</v>
      </c>
      <c r="Q22" s="9">
        <f>SUM(B22:P22)</f>
        <v>1947</v>
      </c>
    </row>
    <row r="23" spans="1:17" x14ac:dyDescent="0.2">
      <c r="A23" s="2" t="s">
        <v>19</v>
      </c>
      <c r="B23">
        <v>4</v>
      </c>
      <c r="C23">
        <v>12</v>
      </c>
      <c r="D23">
        <v>4</v>
      </c>
      <c r="E23">
        <v>8</v>
      </c>
      <c r="F23">
        <v>16</v>
      </c>
      <c r="G23">
        <v>7</v>
      </c>
      <c r="H23">
        <v>9</v>
      </c>
      <c r="I23">
        <v>9</v>
      </c>
      <c r="J23">
        <v>7</v>
      </c>
      <c r="K23">
        <v>9</v>
      </c>
      <c r="L23">
        <v>1</v>
      </c>
      <c r="M23">
        <v>3</v>
      </c>
      <c r="N23">
        <v>4</v>
      </c>
      <c r="O23">
        <v>16</v>
      </c>
      <c r="P23">
        <v>8</v>
      </c>
      <c r="Q23" s="9">
        <f>SUM(B23:P23)</f>
        <v>117</v>
      </c>
    </row>
    <row r="24" spans="1:17" x14ac:dyDescent="0.2">
      <c r="A24" s="2" t="s">
        <v>20</v>
      </c>
      <c r="B24">
        <v>1</v>
      </c>
      <c r="C24">
        <v>6</v>
      </c>
      <c r="D24">
        <v>1</v>
      </c>
      <c r="E24">
        <v>2</v>
      </c>
      <c r="F24">
        <v>2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3</v>
      </c>
      <c r="P24">
        <v>2</v>
      </c>
      <c r="Q24" s="9">
        <f t="shared" ref="Q24:Q26" si="1">SUM(B24:P24)</f>
        <v>20</v>
      </c>
    </row>
    <row r="25" spans="1:17" x14ac:dyDescent="0.2">
      <c r="A25" s="2" t="s">
        <v>21</v>
      </c>
      <c r="B25">
        <v>0</v>
      </c>
      <c r="C25">
        <v>1</v>
      </c>
      <c r="D25">
        <v>0</v>
      </c>
      <c r="E25">
        <v>2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9">
        <f t="shared" si="1"/>
        <v>5</v>
      </c>
    </row>
    <row r="26" spans="1:17" x14ac:dyDescent="0.2">
      <c r="A26" s="2" t="s">
        <v>22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2</v>
      </c>
      <c r="P26">
        <v>0</v>
      </c>
      <c r="Q26" s="9">
        <f t="shared" si="1"/>
        <v>6</v>
      </c>
    </row>
    <row r="27" spans="1:17" x14ac:dyDescent="0.2">
      <c r="A27" s="2" t="s">
        <v>23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9">
        <f>SUM(B27:P27)</f>
        <v>0</v>
      </c>
    </row>
    <row r="28" spans="1:17" x14ac:dyDescent="0.2">
      <c r="A28" s="3" t="s">
        <v>7</v>
      </c>
      <c r="B28" s="3">
        <v>105</v>
      </c>
      <c r="C28" s="3">
        <v>150</v>
      </c>
      <c r="D28" s="3">
        <v>169</v>
      </c>
      <c r="E28" s="3">
        <v>186</v>
      </c>
      <c r="F28" s="3">
        <v>156</v>
      </c>
      <c r="G28" s="3">
        <v>54</v>
      </c>
      <c r="H28" s="3">
        <v>78</v>
      </c>
      <c r="I28" s="3">
        <v>153</v>
      </c>
      <c r="J28" s="3">
        <v>139</v>
      </c>
      <c r="K28" s="3">
        <v>132</v>
      </c>
      <c r="L28" s="3">
        <v>110</v>
      </c>
      <c r="M28" s="3">
        <v>114</v>
      </c>
      <c r="N28" s="3">
        <v>105</v>
      </c>
      <c r="O28" s="3">
        <v>280</v>
      </c>
      <c r="P28" s="3">
        <v>164</v>
      </c>
      <c r="Q28" s="6">
        <f>SUM(Q22:Q27)</f>
        <v>2095</v>
      </c>
    </row>
    <row r="30" spans="1:17" x14ac:dyDescent="0.2">
      <c r="A30" s="22" t="s">
        <v>25</v>
      </c>
      <c r="B30" s="12">
        <v>9</v>
      </c>
      <c r="C30" s="12">
        <v>19</v>
      </c>
      <c r="D30" s="12">
        <v>29</v>
      </c>
      <c r="E30" s="12">
        <v>39</v>
      </c>
      <c r="F30" s="12">
        <v>50</v>
      </c>
      <c r="G30" s="12">
        <v>59</v>
      </c>
      <c r="H30" s="12">
        <v>69</v>
      </c>
      <c r="I30" s="12">
        <v>79</v>
      </c>
      <c r="J30" s="12">
        <v>89</v>
      </c>
      <c r="K30" s="12">
        <v>100</v>
      </c>
      <c r="L30" s="12">
        <v>109</v>
      </c>
      <c r="M30" s="12">
        <v>119</v>
      </c>
      <c r="N30" s="12">
        <v>129</v>
      </c>
      <c r="O30" s="12">
        <v>139</v>
      </c>
      <c r="P30" s="12">
        <v>149</v>
      </c>
      <c r="Q30" s="20" t="s">
        <v>88</v>
      </c>
    </row>
    <row r="31" spans="1:17" x14ac:dyDescent="0.2">
      <c r="A31" s="2" t="s">
        <v>18</v>
      </c>
      <c r="B31">
        <f>B22/B$28*100</f>
        <v>95.238095238095227</v>
      </c>
      <c r="C31">
        <f t="shared" ref="C31:P31" si="2">C22/C$28*100</f>
        <v>86.666666666666671</v>
      </c>
      <c r="D31">
        <f t="shared" si="2"/>
        <v>97.041420118343197</v>
      </c>
      <c r="E31">
        <f t="shared" si="2"/>
        <v>93.010752688172033</v>
      </c>
      <c r="F31">
        <f t="shared" si="2"/>
        <v>88.461538461538453</v>
      </c>
      <c r="G31">
        <f t="shared" si="2"/>
        <v>85.18518518518519</v>
      </c>
      <c r="H31">
        <f t="shared" si="2"/>
        <v>87.179487179487182</v>
      </c>
      <c r="I31">
        <f t="shared" si="2"/>
        <v>94.117647058823522</v>
      </c>
      <c r="J31">
        <f t="shared" si="2"/>
        <v>94.24460431654677</v>
      </c>
      <c r="K31">
        <f t="shared" si="2"/>
        <v>92.424242424242422</v>
      </c>
      <c r="L31">
        <f t="shared" si="2"/>
        <v>99.090909090909093</v>
      </c>
      <c r="M31">
        <f t="shared" si="2"/>
        <v>96.491228070175438</v>
      </c>
      <c r="N31">
        <f t="shared" si="2"/>
        <v>94.285714285714278</v>
      </c>
      <c r="O31">
        <f t="shared" si="2"/>
        <v>92.5</v>
      </c>
      <c r="P31">
        <f t="shared" si="2"/>
        <v>93.902439024390233</v>
      </c>
      <c r="Q31" s="9">
        <f>AVERAGE(B31:P31)</f>
        <v>92.655995320552648</v>
      </c>
    </row>
    <row r="32" spans="1:17" x14ac:dyDescent="0.2">
      <c r="A32" s="2" t="s">
        <v>19</v>
      </c>
      <c r="B32">
        <f>B23/B$28*100</f>
        <v>3.8095238095238098</v>
      </c>
      <c r="C32">
        <f t="shared" ref="C32:P32" si="3">C23/C$28*100</f>
        <v>8</v>
      </c>
      <c r="D32">
        <f t="shared" si="3"/>
        <v>2.3668639053254439</v>
      </c>
      <c r="E32">
        <f t="shared" si="3"/>
        <v>4.3010752688172049</v>
      </c>
      <c r="F32">
        <f t="shared" si="3"/>
        <v>10.256410256410255</v>
      </c>
      <c r="G32">
        <f t="shared" si="3"/>
        <v>12.962962962962962</v>
      </c>
      <c r="H32">
        <f t="shared" si="3"/>
        <v>11.538461538461538</v>
      </c>
      <c r="I32">
        <f t="shared" si="3"/>
        <v>5.8823529411764701</v>
      </c>
      <c r="J32">
        <f t="shared" si="3"/>
        <v>5.0359712230215825</v>
      </c>
      <c r="K32">
        <f t="shared" si="3"/>
        <v>6.8181818181818175</v>
      </c>
      <c r="L32">
        <f t="shared" si="3"/>
        <v>0.90909090909090906</v>
      </c>
      <c r="M32">
        <f t="shared" si="3"/>
        <v>2.6315789473684208</v>
      </c>
      <c r="N32">
        <f t="shared" si="3"/>
        <v>3.8095238095238098</v>
      </c>
      <c r="O32">
        <f t="shared" si="3"/>
        <v>5.7142857142857144</v>
      </c>
      <c r="P32">
        <f t="shared" si="3"/>
        <v>4.8780487804878048</v>
      </c>
      <c r="Q32" s="9">
        <f t="shared" ref="Q32:Q36" si="4">AVERAGE(B32:P32)</f>
        <v>5.9276221256425154</v>
      </c>
    </row>
    <row r="33" spans="1:17" x14ac:dyDescent="0.2">
      <c r="A33" s="2" t="s">
        <v>20</v>
      </c>
      <c r="B33">
        <f t="shared" ref="B33:P36" si="5">B24/B$28*100</f>
        <v>0.95238095238095244</v>
      </c>
      <c r="C33">
        <f t="shared" si="5"/>
        <v>4</v>
      </c>
      <c r="D33">
        <f t="shared" si="5"/>
        <v>0.59171597633136097</v>
      </c>
      <c r="E33">
        <f t="shared" si="5"/>
        <v>1.0752688172043012</v>
      </c>
      <c r="F33">
        <f t="shared" si="5"/>
        <v>1.2820512820512819</v>
      </c>
      <c r="G33">
        <f t="shared" si="5"/>
        <v>0</v>
      </c>
      <c r="H33">
        <f t="shared" si="5"/>
        <v>1.2820512820512819</v>
      </c>
      <c r="I33">
        <f t="shared" si="5"/>
        <v>0</v>
      </c>
      <c r="J33">
        <f t="shared" si="5"/>
        <v>0</v>
      </c>
      <c r="K33">
        <f t="shared" si="5"/>
        <v>0</v>
      </c>
      <c r="L33">
        <f t="shared" si="5"/>
        <v>0</v>
      </c>
      <c r="M33">
        <f t="shared" si="5"/>
        <v>0.8771929824561403</v>
      </c>
      <c r="N33">
        <f t="shared" si="5"/>
        <v>0.95238095238095244</v>
      </c>
      <c r="O33">
        <f t="shared" si="5"/>
        <v>1.0714285714285714</v>
      </c>
      <c r="P33">
        <f t="shared" si="5"/>
        <v>1.2195121951219512</v>
      </c>
      <c r="Q33" s="9">
        <f t="shared" si="4"/>
        <v>0.88693220076045298</v>
      </c>
    </row>
    <row r="34" spans="1:17" x14ac:dyDescent="0.2">
      <c r="A34" s="2" t="s">
        <v>21</v>
      </c>
      <c r="B34">
        <f t="shared" si="5"/>
        <v>0</v>
      </c>
      <c r="C34">
        <f t="shared" si="5"/>
        <v>0.66666666666666674</v>
      </c>
      <c r="D34">
        <f t="shared" si="5"/>
        <v>0</v>
      </c>
      <c r="E34">
        <f t="shared" si="5"/>
        <v>1.0752688172043012</v>
      </c>
      <c r="F34">
        <f t="shared" si="5"/>
        <v>0</v>
      </c>
      <c r="G34">
        <f t="shared" si="5"/>
        <v>1.8518518518518516</v>
      </c>
      <c r="H34">
        <f t="shared" si="5"/>
        <v>0</v>
      </c>
      <c r="I34">
        <f t="shared" si="5"/>
        <v>0</v>
      </c>
      <c r="J34">
        <f t="shared" si="5"/>
        <v>0.71942446043165476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 s="9">
        <f t="shared" si="4"/>
        <v>0.287547453076965</v>
      </c>
    </row>
    <row r="35" spans="1:17" x14ac:dyDescent="0.2">
      <c r="A35" s="2" t="s">
        <v>22</v>
      </c>
      <c r="B35">
        <f t="shared" si="5"/>
        <v>0</v>
      </c>
      <c r="C35">
        <f t="shared" si="5"/>
        <v>0.66666666666666674</v>
      </c>
      <c r="D35">
        <f t="shared" si="5"/>
        <v>0</v>
      </c>
      <c r="E35">
        <f t="shared" si="5"/>
        <v>0.53763440860215062</v>
      </c>
      <c r="F35">
        <f t="shared" si="5"/>
        <v>0</v>
      </c>
      <c r="G35">
        <f t="shared" si="5"/>
        <v>0</v>
      </c>
      <c r="H35">
        <f t="shared" si="5"/>
        <v>0</v>
      </c>
      <c r="I35">
        <f t="shared" si="5"/>
        <v>0</v>
      </c>
      <c r="J35">
        <f t="shared" si="5"/>
        <v>0</v>
      </c>
      <c r="K35">
        <f t="shared" si="5"/>
        <v>0.75757575757575757</v>
      </c>
      <c r="L35">
        <f t="shared" si="5"/>
        <v>0</v>
      </c>
      <c r="M35">
        <f t="shared" si="5"/>
        <v>0</v>
      </c>
      <c r="N35">
        <f t="shared" si="5"/>
        <v>0.95238095238095244</v>
      </c>
      <c r="O35">
        <f t="shared" si="5"/>
        <v>0.7142857142857143</v>
      </c>
      <c r="P35">
        <f t="shared" si="5"/>
        <v>0</v>
      </c>
      <c r="Q35" s="9">
        <f t="shared" si="4"/>
        <v>0.24190289996741612</v>
      </c>
    </row>
    <row r="36" spans="1:17" x14ac:dyDescent="0.2">
      <c r="A36" s="2" t="s">
        <v>23</v>
      </c>
      <c r="B36">
        <f t="shared" si="5"/>
        <v>0</v>
      </c>
      <c r="C36">
        <f t="shared" si="5"/>
        <v>0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0</v>
      </c>
      <c r="J36">
        <f t="shared" si="5"/>
        <v>0</v>
      </c>
      <c r="K36">
        <f t="shared" si="5"/>
        <v>0</v>
      </c>
      <c r="L36">
        <f t="shared" si="5"/>
        <v>0</v>
      </c>
      <c r="M36">
        <f t="shared" si="5"/>
        <v>0</v>
      </c>
      <c r="N36">
        <f t="shared" si="5"/>
        <v>0</v>
      </c>
      <c r="O36">
        <f t="shared" si="5"/>
        <v>0</v>
      </c>
      <c r="P36">
        <f t="shared" si="5"/>
        <v>0</v>
      </c>
      <c r="Q36" s="9">
        <f t="shared" si="4"/>
        <v>0</v>
      </c>
    </row>
    <row r="37" spans="1:17" x14ac:dyDescent="0.2">
      <c r="A37" s="3" t="s">
        <v>7</v>
      </c>
      <c r="B37" s="3">
        <f>SUM(B31:B36)</f>
        <v>99.999999999999986</v>
      </c>
      <c r="C37" s="3">
        <f t="shared" ref="C37:P37" si="6">SUM(C31:C36)</f>
        <v>100.00000000000001</v>
      </c>
      <c r="D37" s="3">
        <f t="shared" si="6"/>
        <v>100</v>
      </c>
      <c r="E37" s="3">
        <f t="shared" si="6"/>
        <v>99.999999999999986</v>
      </c>
      <c r="F37" s="3">
        <f t="shared" si="6"/>
        <v>99.999999999999986</v>
      </c>
      <c r="G37" s="3">
        <f t="shared" si="6"/>
        <v>100</v>
      </c>
      <c r="H37" s="3">
        <f t="shared" si="6"/>
        <v>100</v>
      </c>
      <c r="I37" s="3">
        <f t="shared" si="6"/>
        <v>99.999999999999986</v>
      </c>
      <c r="J37" s="3">
        <f t="shared" si="6"/>
        <v>100</v>
      </c>
      <c r="K37" s="3">
        <f t="shared" si="6"/>
        <v>99.999999999999986</v>
      </c>
      <c r="L37" s="3">
        <f t="shared" si="6"/>
        <v>100</v>
      </c>
      <c r="M37" s="3">
        <f t="shared" si="6"/>
        <v>100</v>
      </c>
      <c r="N37" s="3">
        <f t="shared" si="6"/>
        <v>99.999999999999986</v>
      </c>
      <c r="O37" s="3">
        <f t="shared" si="6"/>
        <v>99.999999999999986</v>
      </c>
      <c r="P37" s="3">
        <f t="shared" si="6"/>
        <v>99.999999999999986</v>
      </c>
      <c r="Q37" s="6">
        <f>SUM(Q31:Q36)</f>
        <v>100</v>
      </c>
    </row>
    <row r="39" spans="1:17" x14ac:dyDescent="0.2">
      <c r="A39" s="2" t="s">
        <v>18</v>
      </c>
      <c r="B39">
        <v>95.238095238095227</v>
      </c>
      <c r="C39">
        <v>86.666666666666671</v>
      </c>
      <c r="D39">
        <v>97.041420118343197</v>
      </c>
      <c r="E39">
        <v>93.010752688172033</v>
      </c>
      <c r="F39">
        <v>88.461538461538453</v>
      </c>
      <c r="G39">
        <v>85.18518518518519</v>
      </c>
      <c r="H39">
        <v>87.179487179487182</v>
      </c>
      <c r="I39">
        <v>94.117647058823522</v>
      </c>
      <c r="J39">
        <v>94.24460431654677</v>
      </c>
      <c r="K39">
        <v>92.424242424242422</v>
      </c>
      <c r="L39">
        <v>99.090909090909093</v>
      </c>
      <c r="M39">
        <v>96.491228070175438</v>
      </c>
      <c r="N39">
        <v>94.285714285714278</v>
      </c>
      <c r="O39">
        <v>92.5</v>
      </c>
      <c r="P39">
        <v>93.902439024390233</v>
      </c>
    </row>
    <row r="40" spans="1:17" x14ac:dyDescent="0.2">
      <c r="A40" s="2" t="s">
        <v>19</v>
      </c>
      <c r="B40">
        <v>3.8095238095238098</v>
      </c>
      <c r="C40">
        <v>8</v>
      </c>
      <c r="D40">
        <v>2.3668639053254439</v>
      </c>
      <c r="E40">
        <v>4.3010752688172049</v>
      </c>
      <c r="F40">
        <v>10.256410256410255</v>
      </c>
      <c r="G40">
        <v>12.962962962962962</v>
      </c>
      <c r="H40">
        <v>11.538461538461538</v>
      </c>
      <c r="I40">
        <v>5.8823529411764701</v>
      </c>
      <c r="J40">
        <v>5.0359712230215825</v>
      </c>
      <c r="K40">
        <v>6.8181818181818175</v>
      </c>
      <c r="L40">
        <v>0.90909090909090906</v>
      </c>
      <c r="M40">
        <v>2.6315789473684208</v>
      </c>
      <c r="N40">
        <v>3.8095238095238098</v>
      </c>
      <c r="O40">
        <v>5.7142857142857144</v>
      </c>
      <c r="P40">
        <v>4.8780487804878048</v>
      </c>
    </row>
    <row r="41" spans="1:17" x14ac:dyDescent="0.2">
      <c r="A41" s="2" t="s">
        <v>20</v>
      </c>
      <c r="B41">
        <v>0.95238095238095244</v>
      </c>
      <c r="C41">
        <v>4</v>
      </c>
      <c r="D41">
        <v>0.59171597633136097</v>
      </c>
      <c r="E41">
        <v>1.0752688172043012</v>
      </c>
      <c r="F41">
        <v>1.2820512820512819</v>
      </c>
      <c r="G41">
        <v>0</v>
      </c>
      <c r="H41">
        <v>1.2820512820512819</v>
      </c>
      <c r="I41">
        <v>0</v>
      </c>
      <c r="J41">
        <v>0</v>
      </c>
      <c r="K41">
        <v>0</v>
      </c>
      <c r="L41">
        <v>0</v>
      </c>
      <c r="M41">
        <v>0.8771929824561403</v>
      </c>
      <c r="N41">
        <v>0.95238095238095244</v>
      </c>
      <c r="O41">
        <v>1.0714285714285714</v>
      </c>
      <c r="P41">
        <v>1.2195121951219512</v>
      </c>
    </row>
    <row r="42" spans="1:17" x14ac:dyDescent="0.2">
      <c r="A42" s="2" t="s">
        <v>21</v>
      </c>
      <c r="B42">
        <v>0</v>
      </c>
      <c r="C42">
        <v>0.66666666666666674</v>
      </c>
      <c r="D42">
        <v>0</v>
      </c>
      <c r="E42">
        <v>1.0752688172043012</v>
      </c>
      <c r="F42">
        <v>0</v>
      </c>
      <c r="G42">
        <v>1.8518518518518516</v>
      </c>
      <c r="H42">
        <v>0</v>
      </c>
      <c r="I42">
        <v>0</v>
      </c>
      <c r="J42">
        <v>0.71942446043165476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7" x14ac:dyDescent="0.2">
      <c r="A43" s="2" t="s">
        <v>22</v>
      </c>
      <c r="B43">
        <v>0</v>
      </c>
      <c r="C43">
        <v>0.66666666666666674</v>
      </c>
      <c r="D43">
        <v>0</v>
      </c>
      <c r="E43">
        <v>0.53763440860215062</v>
      </c>
      <c r="F43">
        <v>0</v>
      </c>
      <c r="G43">
        <v>0</v>
      </c>
      <c r="H43">
        <v>0</v>
      </c>
      <c r="I43">
        <v>0</v>
      </c>
      <c r="J43">
        <v>0</v>
      </c>
      <c r="K43">
        <v>0.75757575757575757</v>
      </c>
      <c r="L43">
        <v>0</v>
      </c>
      <c r="M43">
        <v>0</v>
      </c>
      <c r="N43">
        <v>0.95238095238095244</v>
      </c>
      <c r="O43">
        <v>0.7142857142857143</v>
      </c>
      <c r="P43">
        <v>0</v>
      </c>
    </row>
    <row r="44" spans="1:17" x14ac:dyDescent="0.2">
      <c r="A44" s="2" t="s">
        <v>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BA0F-526B-DD4F-8AE3-2DB5C94D9126}">
  <dimension ref="A1:O16"/>
  <sheetViews>
    <sheetView workbookViewId="0">
      <selection activeCell="C10" sqref="C10"/>
    </sheetView>
  </sheetViews>
  <sheetFormatPr baseColWidth="10" defaultColWidth="11" defaultRowHeight="16" x14ac:dyDescent="0.2"/>
  <cols>
    <col min="3" max="3" width="23.83203125" bestFit="1" customWidth="1"/>
    <col min="4" max="5" width="12.1640625" bestFit="1" customWidth="1"/>
    <col min="6" max="6" width="13" bestFit="1" customWidth="1"/>
    <col min="7" max="7" width="16.83203125" bestFit="1" customWidth="1"/>
    <col min="8" max="8" width="18" bestFit="1" customWidth="1"/>
    <col min="9" max="9" width="13.6640625" bestFit="1" customWidth="1"/>
    <col min="10" max="10" width="12.1640625" bestFit="1" customWidth="1"/>
    <col min="12" max="13" width="12.1640625" bestFit="1" customWidth="1"/>
    <col min="14" max="14" width="18.1640625" bestFit="1" customWidth="1"/>
    <col min="15" max="15" width="18.6640625" bestFit="1" customWidth="1"/>
  </cols>
  <sheetData>
    <row r="1" spans="1:15" x14ac:dyDescent="0.2">
      <c r="A1" t="s">
        <v>100</v>
      </c>
      <c r="B1" t="s">
        <v>101</v>
      </c>
      <c r="C1" t="s">
        <v>99</v>
      </c>
      <c r="D1" t="s">
        <v>6</v>
      </c>
      <c r="E1" t="s">
        <v>34</v>
      </c>
      <c r="F1" t="s">
        <v>47</v>
      </c>
      <c r="G1" t="s">
        <v>98</v>
      </c>
      <c r="H1" t="s">
        <v>97</v>
      </c>
      <c r="I1" t="s">
        <v>9</v>
      </c>
      <c r="J1" t="s">
        <v>14</v>
      </c>
      <c r="K1" t="s">
        <v>26</v>
      </c>
      <c r="L1" t="s">
        <v>65</v>
      </c>
      <c r="M1" t="s">
        <v>66</v>
      </c>
      <c r="N1" t="s">
        <v>89</v>
      </c>
      <c r="O1" t="s">
        <v>96</v>
      </c>
    </row>
    <row r="2" spans="1:15" x14ac:dyDescent="0.2">
      <c r="A2">
        <v>9</v>
      </c>
      <c r="B2">
        <v>16</v>
      </c>
      <c r="C2">
        <v>0.66666666666666663</v>
      </c>
      <c r="D2">
        <v>69.863013698630141</v>
      </c>
      <c r="E2">
        <v>9.5890410958904102</v>
      </c>
      <c r="F2">
        <v>20.547945205479451</v>
      </c>
      <c r="G2">
        <v>24.333333333333332</v>
      </c>
      <c r="H2">
        <v>30.333333333333332</v>
      </c>
      <c r="I2">
        <v>5.3030303030303028</v>
      </c>
      <c r="J2">
        <v>94.696969696969703</v>
      </c>
      <c r="O2">
        <v>44.666666666666664</v>
      </c>
    </row>
    <row r="3" spans="1:15" x14ac:dyDescent="0.2">
      <c r="A3">
        <v>19</v>
      </c>
      <c r="B3">
        <v>125</v>
      </c>
      <c r="C3">
        <v>47.666666666666664</v>
      </c>
      <c r="D3">
        <v>40.74074074074074</v>
      </c>
      <c r="E3">
        <v>0</v>
      </c>
      <c r="F3">
        <v>59.259259259259252</v>
      </c>
      <c r="G3">
        <v>9</v>
      </c>
      <c r="H3">
        <v>21.666666666666668</v>
      </c>
      <c r="I3">
        <v>13.846153846153847</v>
      </c>
      <c r="J3">
        <v>86.15384615384616</v>
      </c>
      <c r="K3">
        <v>0</v>
      </c>
      <c r="L3">
        <v>0</v>
      </c>
      <c r="O3">
        <v>21.666666666666668</v>
      </c>
    </row>
    <row r="4" spans="1:15" x14ac:dyDescent="0.2">
      <c r="A4">
        <v>29</v>
      </c>
      <c r="B4">
        <v>236</v>
      </c>
      <c r="C4">
        <v>29.333333333333332</v>
      </c>
      <c r="D4">
        <v>33.333333333333329</v>
      </c>
      <c r="E4">
        <v>11.76470588235294</v>
      </c>
      <c r="F4">
        <v>54.901960784313729</v>
      </c>
      <c r="G4">
        <v>17</v>
      </c>
      <c r="H4">
        <v>42</v>
      </c>
      <c r="I4">
        <v>28.571428571428569</v>
      </c>
      <c r="J4">
        <v>71.428571428571431</v>
      </c>
      <c r="K4">
        <v>0</v>
      </c>
      <c r="L4">
        <v>0</v>
      </c>
      <c r="O4">
        <v>11.666666666666666</v>
      </c>
    </row>
    <row r="5" spans="1:15" x14ac:dyDescent="0.2">
      <c r="A5">
        <v>39</v>
      </c>
      <c r="B5">
        <v>339</v>
      </c>
      <c r="C5">
        <v>25.333333333333332</v>
      </c>
      <c r="D5">
        <v>44.776119402985074</v>
      </c>
      <c r="E5">
        <v>14.925373134328357</v>
      </c>
      <c r="F5">
        <v>40.298507462686565</v>
      </c>
      <c r="G5">
        <v>22.333333333333332</v>
      </c>
      <c r="H5">
        <v>33.333333333333336</v>
      </c>
      <c r="I5">
        <v>14.035087719298245</v>
      </c>
      <c r="J5">
        <v>85.964912280701753</v>
      </c>
      <c r="K5">
        <v>0</v>
      </c>
      <c r="L5">
        <v>0</v>
      </c>
      <c r="O5">
        <v>19</v>
      </c>
    </row>
    <row r="6" spans="1:15" x14ac:dyDescent="0.2">
      <c r="A6">
        <v>50</v>
      </c>
      <c r="B6">
        <v>427</v>
      </c>
      <c r="C6">
        <v>46.666666666666664</v>
      </c>
      <c r="F6">
        <v>100</v>
      </c>
      <c r="G6">
        <v>16.333333333333332</v>
      </c>
      <c r="H6">
        <v>22.333333333333332</v>
      </c>
      <c r="I6">
        <v>90.909090909090907</v>
      </c>
      <c r="J6">
        <v>9.0909090909090917</v>
      </c>
      <c r="O6">
        <v>14.666666666666666</v>
      </c>
    </row>
    <row r="7" spans="1:15" x14ac:dyDescent="0.2">
      <c r="A7">
        <v>59</v>
      </c>
      <c r="B7">
        <v>493</v>
      </c>
      <c r="C7">
        <v>49.333333333333336</v>
      </c>
      <c r="D7">
        <v>0</v>
      </c>
      <c r="E7">
        <v>0</v>
      </c>
      <c r="F7">
        <v>100</v>
      </c>
      <c r="G7">
        <v>5</v>
      </c>
      <c r="H7">
        <v>40.333333333333336</v>
      </c>
      <c r="I7">
        <v>100</v>
      </c>
      <c r="J7">
        <v>0</v>
      </c>
      <c r="K7">
        <v>0</v>
      </c>
      <c r="L7">
        <v>0</v>
      </c>
      <c r="O7">
        <v>5.333333333333333</v>
      </c>
    </row>
    <row r="8" spans="1:15" x14ac:dyDescent="0.2">
      <c r="A8">
        <v>69</v>
      </c>
      <c r="B8">
        <v>566</v>
      </c>
      <c r="C8">
        <v>53</v>
      </c>
      <c r="D8">
        <v>31.03448275862069</v>
      </c>
      <c r="E8">
        <v>0</v>
      </c>
      <c r="F8">
        <v>68.965517241379317</v>
      </c>
      <c r="G8">
        <v>9.6666666666666661</v>
      </c>
      <c r="H8">
        <v>24.666666666666668</v>
      </c>
      <c r="I8">
        <v>65.789473684210535</v>
      </c>
      <c r="J8">
        <v>5.2631578947368416</v>
      </c>
      <c r="L8">
        <v>0</v>
      </c>
      <c r="M8">
        <v>28.947368421052634</v>
      </c>
      <c r="O8">
        <v>12.666666666666666</v>
      </c>
    </row>
    <row r="9" spans="1:15" x14ac:dyDescent="0.2">
      <c r="A9">
        <v>79</v>
      </c>
      <c r="B9">
        <v>643</v>
      </c>
      <c r="C9">
        <v>36.333333333333336</v>
      </c>
      <c r="D9">
        <v>47.058823529411761</v>
      </c>
      <c r="E9">
        <v>0</v>
      </c>
      <c r="F9">
        <v>52.941176470588239</v>
      </c>
      <c r="G9">
        <v>22.666666666666668</v>
      </c>
      <c r="H9">
        <v>25.333333333333332</v>
      </c>
      <c r="I9">
        <v>46.808510638297875</v>
      </c>
      <c r="J9">
        <v>46.808510638297875</v>
      </c>
      <c r="M9">
        <v>4.2553191489361701</v>
      </c>
      <c r="N9">
        <v>2.1276595744680851</v>
      </c>
      <c r="O9">
        <v>15.666666666666666</v>
      </c>
    </row>
    <row r="10" spans="1:15" x14ac:dyDescent="0.2">
      <c r="A10">
        <v>89</v>
      </c>
      <c r="B10">
        <v>719</v>
      </c>
      <c r="C10">
        <v>37.333333333333336</v>
      </c>
      <c r="D10">
        <v>54.347826086956516</v>
      </c>
      <c r="E10">
        <v>2.1739130434782608</v>
      </c>
      <c r="F10">
        <v>43.478260869565219</v>
      </c>
      <c r="G10">
        <v>15.333333333333334</v>
      </c>
      <c r="H10">
        <v>35.333333333333336</v>
      </c>
      <c r="I10">
        <v>25</v>
      </c>
      <c r="J10">
        <v>13.888888888888889</v>
      </c>
      <c r="M10">
        <v>61.111111111111114</v>
      </c>
      <c r="O10">
        <v>12</v>
      </c>
    </row>
    <row r="11" spans="1:15" x14ac:dyDescent="0.2">
      <c r="A11">
        <v>100</v>
      </c>
      <c r="B11">
        <v>803</v>
      </c>
      <c r="C11">
        <v>34</v>
      </c>
      <c r="D11">
        <v>29.032258064516132</v>
      </c>
      <c r="E11">
        <v>0</v>
      </c>
      <c r="F11">
        <v>70.967741935483872</v>
      </c>
      <c r="G11">
        <v>10.333333333333334</v>
      </c>
      <c r="H11">
        <v>36</v>
      </c>
      <c r="I11">
        <v>69.491525423728817</v>
      </c>
      <c r="J11">
        <v>23.728813559322035</v>
      </c>
      <c r="K11">
        <v>0</v>
      </c>
      <c r="L11">
        <v>3.3898305084745761</v>
      </c>
      <c r="M11">
        <v>3.3898305084745761</v>
      </c>
      <c r="O11">
        <v>19.666666666666668</v>
      </c>
    </row>
    <row r="12" spans="1:15" x14ac:dyDescent="0.2">
      <c r="A12">
        <v>109</v>
      </c>
      <c r="B12">
        <v>875</v>
      </c>
      <c r="C12">
        <v>54.666666666666664</v>
      </c>
      <c r="D12">
        <v>35.294117647058826</v>
      </c>
      <c r="E12">
        <v>0</v>
      </c>
      <c r="F12">
        <v>64.705882352941174</v>
      </c>
      <c r="G12">
        <v>11.333333333333334</v>
      </c>
      <c r="H12">
        <v>29</v>
      </c>
      <c r="I12">
        <v>100</v>
      </c>
      <c r="O12">
        <v>5</v>
      </c>
    </row>
    <row r="13" spans="1:15" x14ac:dyDescent="0.2">
      <c r="A13">
        <v>119</v>
      </c>
      <c r="B13">
        <v>959</v>
      </c>
      <c r="C13">
        <v>44</v>
      </c>
      <c r="D13">
        <v>50.980392156862742</v>
      </c>
      <c r="E13">
        <v>0</v>
      </c>
      <c r="F13">
        <v>49.019607843137251</v>
      </c>
      <c r="G13">
        <v>17</v>
      </c>
      <c r="H13">
        <v>32.666666666666664</v>
      </c>
      <c r="I13">
        <v>31.578947368421051</v>
      </c>
      <c r="J13">
        <v>68.421052631578945</v>
      </c>
      <c r="O13">
        <v>6.333333333333333</v>
      </c>
    </row>
    <row r="14" spans="1:15" x14ac:dyDescent="0.2">
      <c r="A14">
        <v>129</v>
      </c>
      <c r="B14">
        <v>1047</v>
      </c>
      <c r="C14">
        <v>42</v>
      </c>
      <c r="D14">
        <v>21.212121212121211</v>
      </c>
      <c r="E14">
        <v>0</v>
      </c>
      <c r="F14">
        <v>78.787878787878782</v>
      </c>
      <c r="G14">
        <v>11</v>
      </c>
      <c r="H14">
        <v>30.666666666666668</v>
      </c>
      <c r="I14">
        <v>28.571428571428569</v>
      </c>
      <c r="J14">
        <v>53.061224489795919</v>
      </c>
      <c r="M14">
        <v>18.367346938775512</v>
      </c>
      <c r="O14">
        <v>16.333333333333332</v>
      </c>
    </row>
    <row r="15" spans="1:15" x14ac:dyDescent="0.2">
      <c r="A15">
        <v>139</v>
      </c>
      <c r="B15">
        <v>1134</v>
      </c>
      <c r="C15">
        <v>27.666666666666668</v>
      </c>
      <c r="D15">
        <v>11.363636363636363</v>
      </c>
      <c r="E15">
        <v>4.5454545454545459</v>
      </c>
      <c r="F15">
        <v>84.090909090909093</v>
      </c>
      <c r="G15">
        <v>14.666666666666666</v>
      </c>
      <c r="H15">
        <v>32</v>
      </c>
      <c r="I15">
        <v>0</v>
      </c>
      <c r="J15">
        <v>97.468354430379748</v>
      </c>
      <c r="M15">
        <v>2.5316455696202533</v>
      </c>
      <c r="O15">
        <v>25.666666666666668</v>
      </c>
    </row>
    <row r="16" spans="1:15" x14ac:dyDescent="0.2">
      <c r="A16">
        <v>149</v>
      </c>
      <c r="B16">
        <v>1228</v>
      </c>
      <c r="C16">
        <v>33</v>
      </c>
      <c r="D16">
        <v>42.372881355932201</v>
      </c>
      <c r="E16">
        <v>0</v>
      </c>
      <c r="F16">
        <v>57.627118644067799</v>
      </c>
      <c r="G16">
        <v>19.666666666666668</v>
      </c>
      <c r="H16">
        <v>31.666666666666668</v>
      </c>
      <c r="I16">
        <v>6.3829787234042552</v>
      </c>
      <c r="J16">
        <v>91.489361702127653</v>
      </c>
      <c r="M16">
        <v>2.1276595744680851</v>
      </c>
      <c r="O16">
        <v>15.666666666666666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0273-CCB6-CA4C-8CC4-EBF8A9734C1D}">
  <dimension ref="A1:Q49"/>
  <sheetViews>
    <sheetView topLeftCell="A16" workbookViewId="0">
      <selection activeCell="G29" sqref="G29:G43"/>
    </sheetView>
  </sheetViews>
  <sheetFormatPr baseColWidth="10" defaultColWidth="11" defaultRowHeight="16" x14ac:dyDescent="0.2"/>
  <cols>
    <col min="11" max="11" width="13.6640625" bestFit="1" customWidth="1"/>
  </cols>
  <sheetData>
    <row r="1" spans="1:16" x14ac:dyDescent="0.2">
      <c r="A1" t="s">
        <v>25</v>
      </c>
      <c r="B1" t="s">
        <v>101</v>
      </c>
      <c r="C1" t="s">
        <v>103</v>
      </c>
      <c r="D1" t="s">
        <v>102</v>
      </c>
      <c r="E1" t="s">
        <v>104</v>
      </c>
      <c r="F1" t="s">
        <v>105</v>
      </c>
      <c r="G1" t="s">
        <v>6</v>
      </c>
      <c r="H1" t="s">
        <v>34</v>
      </c>
      <c r="I1" t="s">
        <v>47</v>
      </c>
      <c r="J1" t="s">
        <v>8</v>
      </c>
      <c r="K1" t="s">
        <v>9</v>
      </c>
      <c r="L1" t="s">
        <v>14</v>
      </c>
      <c r="M1" t="s">
        <v>65</v>
      </c>
      <c r="N1" t="s">
        <v>66</v>
      </c>
      <c r="O1" t="s">
        <v>89</v>
      </c>
      <c r="P1" s="3" t="s">
        <v>96</v>
      </c>
    </row>
    <row r="2" spans="1:16" x14ac:dyDescent="0.2">
      <c r="A2">
        <v>9</v>
      </c>
      <c r="B2">
        <v>16</v>
      </c>
      <c r="C2">
        <v>0</v>
      </c>
      <c r="D2">
        <v>0</v>
      </c>
      <c r="E2">
        <v>0.66666667000000002</v>
      </c>
      <c r="F2">
        <v>0</v>
      </c>
      <c r="G2">
        <v>16.999999767456618</v>
      </c>
      <c r="H2">
        <v>2.3333333023698626</v>
      </c>
      <c r="I2">
        <v>4.9999999301735158</v>
      </c>
      <c r="J2">
        <v>30.333333</v>
      </c>
      <c r="K2">
        <v>2.3686868850101006</v>
      </c>
      <c r="L2">
        <v>42.297980114989898</v>
      </c>
      <c r="M2">
        <v>0</v>
      </c>
      <c r="N2">
        <v>0</v>
      </c>
      <c r="O2">
        <v>0</v>
      </c>
      <c r="P2" s="3">
        <v>44.6666666666667</v>
      </c>
    </row>
    <row r="3" spans="1:16" x14ac:dyDescent="0.2">
      <c r="A3">
        <v>19</v>
      </c>
      <c r="B3">
        <v>125</v>
      </c>
      <c r="C3">
        <v>19.066666680000001</v>
      </c>
      <c r="D3">
        <v>19.066666680000001</v>
      </c>
      <c r="E3">
        <v>9.5333333400000004</v>
      </c>
      <c r="F3">
        <v>0</v>
      </c>
      <c r="G3">
        <v>3.666666663</v>
      </c>
      <c r="H3">
        <v>0</v>
      </c>
      <c r="I3">
        <v>5.3333333369999991</v>
      </c>
      <c r="J3">
        <v>21.6666667</v>
      </c>
      <c r="K3">
        <v>2.9999999946153846</v>
      </c>
      <c r="L3">
        <v>18.666666705384618</v>
      </c>
      <c r="M3">
        <v>0</v>
      </c>
      <c r="N3">
        <v>0</v>
      </c>
      <c r="O3">
        <v>0</v>
      </c>
      <c r="P3">
        <v>21.666666666666668</v>
      </c>
    </row>
    <row r="4" spans="1:16" x14ac:dyDescent="0.2">
      <c r="A4">
        <v>29</v>
      </c>
      <c r="B4">
        <v>236</v>
      </c>
      <c r="C4">
        <v>2.9333333000000001</v>
      </c>
      <c r="D4">
        <v>16.622222043111112</v>
      </c>
      <c r="E4">
        <v>7.8222221431111114</v>
      </c>
      <c r="F4">
        <v>1.9555555343111111</v>
      </c>
      <c r="G4">
        <v>5.6666666610000007</v>
      </c>
      <c r="H4">
        <v>2.0000000029999998</v>
      </c>
      <c r="I4">
        <v>9.3333333360000008</v>
      </c>
      <c r="J4">
        <v>42</v>
      </c>
      <c r="K4">
        <v>3.3333334319047623</v>
      </c>
      <c r="L4">
        <v>8.3333335680952381</v>
      </c>
      <c r="M4">
        <v>0</v>
      </c>
      <c r="N4">
        <v>0</v>
      </c>
      <c r="O4">
        <v>0</v>
      </c>
      <c r="P4" s="3">
        <v>11.666666666666666</v>
      </c>
    </row>
    <row r="5" spans="1:16" x14ac:dyDescent="0.2">
      <c r="A5">
        <v>39</v>
      </c>
      <c r="B5">
        <v>339</v>
      </c>
      <c r="C5">
        <v>5.0666666000000005</v>
      </c>
      <c r="D5">
        <v>10.977777624888891</v>
      </c>
      <c r="E5">
        <v>6.7555554751111115</v>
      </c>
      <c r="F5">
        <v>2.5333333000000002</v>
      </c>
      <c r="G5">
        <v>9.9999998500796021</v>
      </c>
      <c r="H5">
        <v>3.3333332759154231</v>
      </c>
      <c r="I5">
        <v>8.999999874004974</v>
      </c>
      <c r="J5">
        <v>33.333333000000003</v>
      </c>
      <c r="K5">
        <v>2.666666663</v>
      </c>
      <c r="L5">
        <v>16.333333336999999</v>
      </c>
      <c r="M5">
        <v>0</v>
      </c>
      <c r="N5">
        <v>0</v>
      </c>
      <c r="O5">
        <v>0</v>
      </c>
      <c r="P5" s="3">
        <v>19</v>
      </c>
    </row>
    <row r="6" spans="1:16" x14ac:dyDescent="0.2">
      <c r="A6">
        <v>50</v>
      </c>
      <c r="B6">
        <v>427</v>
      </c>
      <c r="C6">
        <v>17.111111248888886</v>
      </c>
      <c r="D6">
        <v>17.111111248888886</v>
      </c>
      <c r="E6">
        <v>12.444444548888887</v>
      </c>
      <c r="F6">
        <v>0</v>
      </c>
      <c r="G6">
        <v>0</v>
      </c>
      <c r="H6">
        <v>0</v>
      </c>
      <c r="I6">
        <v>16.333333</v>
      </c>
      <c r="J6">
        <v>22.333333</v>
      </c>
      <c r="K6">
        <v>13.333333635030302</v>
      </c>
      <c r="L6">
        <v>1.3333333635030302</v>
      </c>
      <c r="M6">
        <v>0</v>
      </c>
      <c r="N6">
        <v>0</v>
      </c>
      <c r="O6">
        <v>0</v>
      </c>
      <c r="P6" s="3">
        <v>14.666666666666666</v>
      </c>
    </row>
    <row r="7" spans="1:16" x14ac:dyDescent="0.2">
      <c r="A7">
        <v>59</v>
      </c>
      <c r="B7">
        <v>493</v>
      </c>
      <c r="C7">
        <v>4.9333333000000001</v>
      </c>
      <c r="D7">
        <v>11.51111101688889</v>
      </c>
      <c r="E7">
        <v>32.888888683111105</v>
      </c>
      <c r="F7">
        <v>0</v>
      </c>
      <c r="G7">
        <v>0</v>
      </c>
      <c r="H7">
        <v>0</v>
      </c>
      <c r="I7">
        <v>5</v>
      </c>
      <c r="J7">
        <v>40.333333000000003</v>
      </c>
      <c r="K7">
        <v>5.3333332999999996</v>
      </c>
      <c r="L7">
        <v>0</v>
      </c>
      <c r="M7">
        <v>0</v>
      </c>
      <c r="N7">
        <v>0</v>
      </c>
      <c r="O7">
        <v>0</v>
      </c>
      <c r="P7" s="3">
        <v>5.333333333333333</v>
      </c>
    </row>
    <row r="8" spans="1:16" x14ac:dyDescent="0.2">
      <c r="A8">
        <v>69</v>
      </c>
      <c r="B8">
        <v>566</v>
      </c>
      <c r="C8">
        <v>7.0666666490000001</v>
      </c>
      <c r="D8">
        <v>21.200000000000003</v>
      </c>
      <c r="E8">
        <v>21.200000000000003</v>
      </c>
      <c r="F8">
        <v>3.5333333351</v>
      </c>
      <c r="G8">
        <v>3.0000000143448275</v>
      </c>
      <c r="H8">
        <v>0</v>
      </c>
      <c r="I8">
        <v>6.666666685655172</v>
      </c>
      <c r="J8">
        <v>24.666667</v>
      </c>
      <c r="K8">
        <v>8.3333335546315794</v>
      </c>
      <c r="L8">
        <v>0.66666668361052628</v>
      </c>
      <c r="M8">
        <v>0</v>
      </c>
      <c r="N8">
        <v>3.666666760491228</v>
      </c>
      <c r="O8">
        <v>0</v>
      </c>
      <c r="P8" s="3">
        <v>12.666666666666666</v>
      </c>
    </row>
    <row r="9" spans="1:16" x14ac:dyDescent="0.2">
      <c r="A9">
        <v>79</v>
      </c>
      <c r="B9">
        <v>643</v>
      </c>
      <c r="C9">
        <v>12.111110987888889</v>
      </c>
      <c r="D9">
        <v>18.166666500000002</v>
      </c>
      <c r="E9">
        <v>1.2111110987888889</v>
      </c>
      <c r="F9">
        <v>4.8444443878888892</v>
      </c>
      <c r="G9">
        <v>10.666666816862746</v>
      </c>
      <c r="H9">
        <v>0</v>
      </c>
      <c r="I9">
        <v>12.000000183137255</v>
      </c>
      <c r="J9">
        <v>25.333333</v>
      </c>
      <c r="K9">
        <v>7.3333334833617023</v>
      </c>
      <c r="L9">
        <v>7.3333334833617023</v>
      </c>
      <c r="M9">
        <v>0</v>
      </c>
      <c r="N9">
        <v>0.66666668101773052</v>
      </c>
      <c r="O9">
        <v>0.33333333972553192</v>
      </c>
      <c r="P9" s="3">
        <v>15.666666666666666</v>
      </c>
    </row>
    <row r="10" spans="1:16" x14ac:dyDescent="0.2">
      <c r="A10">
        <v>89</v>
      </c>
      <c r="B10">
        <v>719</v>
      </c>
      <c r="C10">
        <v>6.2222221791111112</v>
      </c>
      <c r="D10">
        <v>17.422222079111112</v>
      </c>
      <c r="E10">
        <v>6.2222221791111112</v>
      </c>
      <c r="F10">
        <v>7.4666665999999999</v>
      </c>
      <c r="G10">
        <v>8.3333331541739124</v>
      </c>
      <c r="H10">
        <v>0.33333332555362316</v>
      </c>
      <c r="I10">
        <v>6.6666665264057965</v>
      </c>
      <c r="J10">
        <v>35.333333000000003</v>
      </c>
      <c r="K10">
        <v>3</v>
      </c>
      <c r="L10">
        <v>1.666666668</v>
      </c>
      <c r="M10">
        <v>0</v>
      </c>
      <c r="N10">
        <v>7.3333333319999996</v>
      </c>
      <c r="O10">
        <v>0</v>
      </c>
      <c r="P10" s="3">
        <v>12</v>
      </c>
    </row>
    <row r="11" spans="1:16" x14ac:dyDescent="0.2">
      <c r="A11">
        <v>100</v>
      </c>
      <c r="B11">
        <v>803</v>
      </c>
      <c r="C11">
        <v>12.466666678000001</v>
      </c>
      <c r="D11">
        <v>10.200000000000001</v>
      </c>
      <c r="E11">
        <v>10.200000000000001</v>
      </c>
      <c r="F11">
        <v>1.1333333322000001</v>
      </c>
      <c r="G11">
        <v>2.999999906892473</v>
      </c>
      <c r="H11">
        <v>0</v>
      </c>
      <c r="I11">
        <v>7.3333330931075267</v>
      </c>
      <c r="J11">
        <v>36</v>
      </c>
      <c r="K11">
        <v>13.666666893638419</v>
      </c>
      <c r="L11">
        <v>4.666666753762712</v>
      </c>
      <c r="M11">
        <v>0.66666667826610171</v>
      </c>
      <c r="N11">
        <v>0.66666667826610171</v>
      </c>
      <c r="O11">
        <v>0</v>
      </c>
      <c r="P11" s="3">
        <v>19.666666666666668</v>
      </c>
    </row>
    <row r="12" spans="1:16" x14ac:dyDescent="0.2">
      <c r="A12">
        <v>109</v>
      </c>
      <c r="B12">
        <v>875</v>
      </c>
      <c r="C12">
        <v>20.04444458488889</v>
      </c>
      <c r="D12">
        <v>12.755555615111112</v>
      </c>
      <c r="E12">
        <v>10.9333334</v>
      </c>
      <c r="F12">
        <v>10.9333334</v>
      </c>
      <c r="G12">
        <v>3.9999998770196079</v>
      </c>
      <c r="H12">
        <v>0</v>
      </c>
      <c r="I12">
        <v>7.3333331229803909</v>
      </c>
      <c r="J12">
        <v>29</v>
      </c>
      <c r="K12">
        <v>5</v>
      </c>
      <c r="L12">
        <v>0</v>
      </c>
      <c r="M12">
        <v>0</v>
      </c>
      <c r="N12">
        <v>0</v>
      </c>
      <c r="O12">
        <v>0</v>
      </c>
      <c r="P12" s="3">
        <v>5</v>
      </c>
    </row>
    <row r="13" spans="1:16" x14ac:dyDescent="0.2">
      <c r="A13">
        <v>119</v>
      </c>
      <c r="B13">
        <v>959</v>
      </c>
      <c r="C13">
        <v>8.8000000000000007</v>
      </c>
      <c r="D13">
        <v>10.266666652</v>
      </c>
      <c r="E13">
        <v>17.600000000000001</v>
      </c>
      <c r="F13">
        <v>7.333333348</v>
      </c>
      <c r="G13">
        <v>8.666666674</v>
      </c>
      <c r="H13">
        <v>0</v>
      </c>
      <c r="I13">
        <v>8.3333333260000018</v>
      </c>
      <c r="J13">
        <v>32.666666999999997</v>
      </c>
      <c r="K13">
        <v>1.9999999914736839</v>
      </c>
      <c r="L13">
        <v>4.3333333085263153</v>
      </c>
      <c r="M13">
        <v>0</v>
      </c>
      <c r="N13">
        <v>0</v>
      </c>
      <c r="O13">
        <v>0</v>
      </c>
      <c r="P13" s="3">
        <v>6.333333333333333</v>
      </c>
    </row>
    <row r="14" spans="1:16" x14ac:dyDescent="0.2">
      <c r="A14">
        <v>129</v>
      </c>
      <c r="B14">
        <v>1047</v>
      </c>
      <c r="C14">
        <v>7.0000000140000003</v>
      </c>
      <c r="D14">
        <v>18.199999985999998</v>
      </c>
      <c r="E14">
        <v>15.400000014</v>
      </c>
      <c r="F14">
        <v>1.3999999985999998</v>
      </c>
      <c r="G14">
        <v>2.333333332</v>
      </c>
      <c r="H14">
        <v>0</v>
      </c>
      <c r="I14">
        <v>8.6666666679999995</v>
      </c>
      <c r="J14">
        <v>30.666667</v>
      </c>
      <c r="K14">
        <v>4.6666665760952384</v>
      </c>
      <c r="L14">
        <v>8.6666664914625855</v>
      </c>
      <c r="M14">
        <v>0</v>
      </c>
      <c r="N14">
        <v>2.9999999324421771</v>
      </c>
      <c r="O14">
        <v>0</v>
      </c>
      <c r="P14" s="3">
        <v>16.333333333333332</v>
      </c>
    </row>
    <row r="15" spans="1:16" x14ac:dyDescent="0.2">
      <c r="A15">
        <v>139</v>
      </c>
      <c r="B15">
        <v>1134</v>
      </c>
      <c r="C15">
        <v>2.7666667</v>
      </c>
      <c r="D15">
        <v>10.144444575888889</v>
      </c>
      <c r="E15">
        <v>14.755555724111112</v>
      </c>
      <c r="F15">
        <v>0</v>
      </c>
      <c r="G15">
        <v>1.6666667098787882</v>
      </c>
      <c r="H15">
        <v>0.66666668248484839</v>
      </c>
      <c r="I15">
        <v>12.333333614969698</v>
      </c>
      <c r="J15">
        <v>32</v>
      </c>
      <c r="K15">
        <v>0</v>
      </c>
      <c r="L15">
        <v>25.016877954227844</v>
      </c>
      <c r="M15">
        <v>0</v>
      </c>
      <c r="N15">
        <v>0.64978903807215183</v>
      </c>
      <c r="O15">
        <v>0</v>
      </c>
      <c r="P15" s="3">
        <v>25.666666666666668</v>
      </c>
    </row>
    <row r="16" spans="1:16" x14ac:dyDescent="0.2">
      <c r="A16">
        <v>149</v>
      </c>
      <c r="B16">
        <v>1228</v>
      </c>
      <c r="C16">
        <v>4.3999999890000003</v>
      </c>
      <c r="D16">
        <v>14.299999989</v>
      </c>
      <c r="E16">
        <v>10.999999989000001</v>
      </c>
      <c r="F16">
        <v>3.3000000000000003</v>
      </c>
      <c r="G16">
        <v>8.3333334832429387</v>
      </c>
      <c r="H16">
        <v>0</v>
      </c>
      <c r="I16">
        <v>11.333333516757063</v>
      </c>
      <c r="J16">
        <v>31.666667</v>
      </c>
      <c r="K16">
        <v>1.0000000207432624</v>
      </c>
      <c r="L16">
        <v>14.33333363796454</v>
      </c>
      <c r="M16">
        <v>0</v>
      </c>
      <c r="N16">
        <v>0.33333333972553192</v>
      </c>
      <c r="O16">
        <v>0</v>
      </c>
      <c r="P16" s="3">
        <v>15.666666666666666</v>
      </c>
    </row>
    <row r="21" spans="1:17" x14ac:dyDescent="0.2">
      <c r="A21" s="1" t="s">
        <v>9</v>
      </c>
      <c r="B21">
        <v>5.3030303030303028</v>
      </c>
      <c r="C21">
        <v>13.846153846153847</v>
      </c>
      <c r="D21">
        <v>28.571428571428569</v>
      </c>
      <c r="E21">
        <v>14.035087719298245</v>
      </c>
      <c r="F21">
        <v>90.909090909090907</v>
      </c>
      <c r="G21">
        <v>100</v>
      </c>
      <c r="H21">
        <v>65.789473684210535</v>
      </c>
      <c r="I21">
        <v>46.808510638297875</v>
      </c>
      <c r="J21">
        <v>25</v>
      </c>
      <c r="K21">
        <v>69.491525423728817</v>
      </c>
      <c r="L21">
        <v>100</v>
      </c>
      <c r="M21">
        <v>31.578947368421051</v>
      </c>
      <c r="N21">
        <v>28.571428571428569</v>
      </c>
      <c r="O21">
        <v>0</v>
      </c>
      <c r="P21">
        <v>6.3829787234042552</v>
      </c>
    </row>
    <row r="22" spans="1:17" x14ac:dyDescent="0.2">
      <c r="A22" s="2" t="s">
        <v>14</v>
      </c>
      <c r="B22">
        <v>94.696969696969703</v>
      </c>
      <c r="C22">
        <v>86.15384615384616</v>
      </c>
      <c r="D22">
        <v>71.428571428571431</v>
      </c>
      <c r="E22">
        <v>85.964912280701753</v>
      </c>
      <c r="F22">
        <v>9.0909090909090917</v>
      </c>
      <c r="G22">
        <v>0</v>
      </c>
      <c r="H22">
        <v>5.2631578947368416</v>
      </c>
      <c r="I22">
        <v>46.808510638297875</v>
      </c>
      <c r="J22">
        <v>13.888888888888889</v>
      </c>
      <c r="K22">
        <v>23.728813559322035</v>
      </c>
      <c r="M22">
        <v>68.421052631578945</v>
      </c>
      <c r="N22">
        <v>53.061224489795919</v>
      </c>
      <c r="O22">
        <v>97.468354430379748</v>
      </c>
      <c r="P22">
        <v>91.489361702127653</v>
      </c>
    </row>
    <row r="23" spans="1:17" x14ac:dyDescent="0.2">
      <c r="A23" t="s">
        <v>26</v>
      </c>
      <c r="C23">
        <v>0</v>
      </c>
      <c r="D23">
        <v>0</v>
      </c>
      <c r="E23">
        <v>0</v>
      </c>
      <c r="G23">
        <v>0</v>
      </c>
      <c r="K23">
        <v>0</v>
      </c>
    </row>
    <row r="24" spans="1:17" x14ac:dyDescent="0.2">
      <c r="A24" t="s">
        <v>65</v>
      </c>
      <c r="C24">
        <v>0</v>
      </c>
      <c r="D24">
        <v>0</v>
      </c>
      <c r="E24">
        <v>0</v>
      </c>
      <c r="G24">
        <v>0</v>
      </c>
      <c r="H24">
        <v>0</v>
      </c>
      <c r="K24">
        <v>3.3898305084745761</v>
      </c>
    </row>
    <row r="25" spans="1:17" x14ac:dyDescent="0.2">
      <c r="A25" t="s">
        <v>66</v>
      </c>
      <c r="C25" s="2"/>
      <c r="H25">
        <v>28.947368421052634</v>
      </c>
      <c r="I25">
        <v>4.2553191489361701</v>
      </c>
      <c r="J25">
        <v>61.111111111111114</v>
      </c>
      <c r="K25">
        <v>3.3898305084745761</v>
      </c>
      <c r="N25">
        <v>18.367346938775512</v>
      </c>
      <c r="O25">
        <v>2.5316455696202533</v>
      </c>
      <c r="P25">
        <v>2.1276595744680851</v>
      </c>
    </row>
    <row r="26" spans="1:17" x14ac:dyDescent="0.2">
      <c r="A26" t="s">
        <v>89</v>
      </c>
      <c r="I26">
        <v>2.1276595744680851</v>
      </c>
    </row>
    <row r="27" spans="1:17" x14ac:dyDescent="0.2">
      <c r="A27" s="3" t="s">
        <v>96</v>
      </c>
      <c r="B27" s="3">
        <v>44.6666666666667</v>
      </c>
      <c r="C27">
        <v>21.666666666666668</v>
      </c>
      <c r="D27" s="3">
        <v>11.666666666666666</v>
      </c>
      <c r="E27" s="3">
        <v>19</v>
      </c>
      <c r="F27" s="3">
        <v>14.666666666666666</v>
      </c>
      <c r="G27" s="3">
        <v>5.333333333333333</v>
      </c>
      <c r="H27" s="3">
        <v>12.666666666666666</v>
      </c>
      <c r="I27" s="3">
        <v>15.666666666666666</v>
      </c>
      <c r="J27" s="3">
        <v>12</v>
      </c>
      <c r="K27" s="3">
        <v>19.666666666666668</v>
      </c>
      <c r="L27" s="3">
        <v>5</v>
      </c>
      <c r="M27" s="3">
        <v>6.333333333333333</v>
      </c>
      <c r="N27" s="3">
        <v>16.333333333333332</v>
      </c>
      <c r="O27" s="3">
        <v>25.666666666666668</v>
      </c>
      <c r="P27" s="3">
        <v>15.666666666666666</v>
      </c>
    </row>
    <row r="29" spans="1:17" x14ac:dyDescent="0.2">
      <c r="G29" s="24">
        <v>24.333333</v>
      </c>
      <c r="K29" s="1" t="s">
        <v>9</v>
      </c>
      <c r="L29" s="2" t="s">
        <v>14</v>
      </c>
      <c r="M29" t="s">
        <v>26</v>
      </c>
      <c r="N29" t="s">
        <v>65</v>
      </c>
      <c r="O29" t="s">
        <v>66</v>
      </c>
      <c r="P29" t="s">
        <v>89</v>
      </c>
      <c r="Q29" s="3" t="s">
        <v>96</v>
      </c>
    </row>
    <row r="30" spans="1:17" x14ac:dyDescent="0.2">
      <c r="G30" s="21">
        <v>9</v>
      </c>
      <c r="K30">
        <v>5.3030303030303028</v>
      </c>
      <c r="L30">
        <v>94.696969696969703</v>
      </c>
      <c r="Q30" s="3">
        <v>44.6666666666667</v>
      </c>
    </row>
    <row r="31" spans="1:17" x14ac:dyDescent="0.2">
      <c r="G31" s="24">
        <v>17</v>
      </c>
      <c r="K31">
        <v>13.846153846153847</v>
      </c>
      <c r="L31">
        <v>86.15384615384616</v>
      </c>
      <c r="M31">
        <v>0</v>
      </c>
      <c r="N31">
        <v>0</v>
      </c>
      <c r="O31" s="2"/>
      <c r="Q31">
        <v>21.666666666666668</v>
      </c>
    </row>
    <row r="32" spans="1:17" x14ac:dyDescent="0.2">
      <c r="G32" s="24">
        <v>22.333333</v>
      </c>
      <c r="K32">
        <v>28.571428571428569</v>
      </c>
      <c r="L32">
        <v>71.428571428571431</v>
      </c>
      <c r="M32">
        <v>0</v>
      </c>
      <c r="N32">
        <v>0</v>
      </c>
      <c r="Q32" s="3">
        <v>11.666666666666666</v>
      </c>
    </row>
    <row r="33" spans="7:17" x14ac:dyDescent="0.2">
      <c r="G33" s="24">
        <v>16.333333</v>
      </c>
      <c r="K33">
        <v>14.035087719298245</v>
      </c>
      <c r="L33">
        <v>85.964912280701753</v>
      </c>
      <c r="M33">
        <v>0</v>
      </c>
      <c r="N33">
        <v>0</v>
      </c>
      <c r="Q33" s="3">
        <v>19</v>
      </c>
    </row>
    <row r="34" spans="7:17" x14ac:dyDescent="0.2">
      <c r="G34" s="24">
        <v>5</v>
      </c>
      <c r="K34">
        <v>90.909090909090907</v>
      </c>
      <c r="L34">
        <v>9.0909090909090917</v>
      </c>
      <c r="Q34" s="3">
        <v>14.666666666666666</v>
      </c>
    </row>
    <row r="35" spans="7:17" x14ac:dyDescent="0.2">
      <c r="G35" s="24">
        <v>9.6666667000000004</v>
      </c>
      <c r="K35">
        <v>100</v>
      </c>
      <c r="L35">
        <v>0</v>
      </c>
      <c r="M35">
        <v>0</v>
      </c>
      <c r="N35">
        <v>0</v>
      </c>
      <c r="Q35" s="3">
        <v>5.333333333333333</v>
      </c>
    </row>
    <row r="36" spans="7:17" x14ac:dyDescent="0.2">
      <c r="G36" s="24">
        <v>22.666667</v>
      </c>
      <c r="K36">
        <v>65.789473684210535</v>
      </c>
      <c r="L36">
        <v>5.2631578947368416</v>
      </c>
      <c r="N36">
        <v>0</v>
      </c>
      <c r="O36">
        <v>28.947368421052634</v>
      </c>
      <c r="Q36" s="3">
        <v>12.666666666666666</v>
      </c>
    </row>
    <row r="37" spans="7:17" x14ac:dyDescent="0.2">
      <c r="G37" s="24">
        <v>15.333333</v>
      </c>
      <c r="K37">
        <v>46.808510638297875</v>
      </c>
      <c r="L37">
        <v>46.808510638297875</v>
      </c>
      <c r="O37">
        <v>4.2553191489361701</v>
      </c>
      <c r="P37">
        <v>2.1276595744680851</v>
      </c>
      <c r="Q37" s="3">
        <v>15.666666666666666</v>
      </c>
    </row>
    <row r="38" spans="7:17" x14ac:dyDescent="0.2">
      <c r="G38" s="24">
        <v>10.333333</v>
      </c>
      <c r="K38">
        <v>25</v>
      </c>
      <c r="L38">
        <v>13.888888888888889</v>
      </c>
      <c r="O38">
        <v>61.111111111111114</v>
      </c>
      <c r="Q38" s="3">
        <v>12</v>
      </c>
    </row>
    <row r="39" spans="7:17" x14ac:dyDescent="0.2">
      <c r="G39" s="24">
        <v>11.333333</v>
      </c>
      <c r="K39">
        <v>69.491525423728817</v>
      </c>
      <c r="L39">
        <v>23.728813559322035</v>
      </c>
      <c r="M39">
        <v>0</v>
      </c>
      <c r="N39">
        <v>3.3898305084745761</v>
      </c>
      <c r="O39">
        <v>3.3898305084745761</v>
      </c>
      <c r="Q39" s="3">
        <v>19.666666666666668</v>
      </c>
    </row>
    <row r="40" spans="7:17" x14ac:dyDescent="0.2">
      <c r="G40" s="24">
        <v>17</v>
      </c>
      <c r="K40">
        <v>100</v>
      </c>
      <c r="Q40" s="3">
        <v>5</v>
      </c>
    </row>
    <row r="41" spans="7:17" x14ac:dyDescent="0.2">
      <c r="G41" s="24">
        <v>11</v>
      </c>
      <c r="K41">
        <v>31.578947368421051</v>
      </c>
      <c r="L41">
        <v>68.421052631578945</v>
      </c>
      <c r="Q41" s="3">
        <v>6.333333333333333</v>
      </c>
    </row>
    <row r="42" spans="7:17" x14ac:dyDescent="0.2">
      <c r="G42" s="24">
        <v>14.666667</v>
      </c>
      <c r="K42">
        <v>28.571428571428569</v>
      </c>
      <c r="L42">
        <v>53.061224489795919</v>
      </c>
      <c r="O42">
        <v>18.367346938775512</v>
      </c>
      <c r="Q42" s="3">
        <v>16.333333333333332</v>
      </c>
    </row>
    <row r="43" spans="7:17" x14ac:dyDescent="0.2">
      <c r="G43" s="24">
        <v>19.666667</v>
      </c>
      <c r="K43">
        <v>0</v>
      </c>
      <c r="L43">
        <v>97.468354430379748</v>
      </c>
      <c r="O43">
        <v>2.5316455696202533</v>
      </c>
      <c r="Q43" s="3">
        <v>25.666666666666668</v>
      </c>
    </row>
    <row r="44" spans="7:17" x14ac:dyDescent="0.2">
      <c r="K44">
        <v>6.3829787234042552</v>
      </c>
      <c r="L44">
        <v>91.489361702127653</v>
      </c>
      <c r="O44">
        <v>2.1276595744680851</v>
      </c>
      <c r="Q44" s="3">
        <v>15.666666666666666</v>
      </c>
    </row>
    <row r="49" spans="1:15" x14ac:dyDescent="0.2">
      <c r="A49" s="24">
        <v>24.333333</v>
      </c>
      <c r="B49" s="21">
        <v>9</v>
      </c>
      <c r="C49" s="24">
        <v>17</v>
      </c>
      <c r="D49" s="24">
        <v>22.333333</v>
      </c>
      <c r="E49" s="24">
        <v>16.333333</v>
      </c>
      <c r="F49" s="24">
        <v>5</v>
      </c>
      <c r="G49" s="24">
        <v>9.6666667000000004</v>
      </c>
      <c r="H49" s="24">
        <v>22.666667</v>
      </c>
      <c r="I49" s="24">
        <v>15.333333</v>
      </c>
      <c r="J49" s="24">
        <v>10.333333</v>
      </c>
      <c r="K49" s="24">
        <v>11.333333</v>
      </c>
      <c r="L49" s="24">
        <v>17</v>
      </c>
      <c r="M49" s="24">
        <v>11</v>
      </c>
      <c r="N49" s="24">
        <v>14.666667</v>
      </c>
      <c r="O49" s="24">
        <v>19.666667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0248-2A5E-684A-8AC1-1F89F0F37EE4}">
  <sheetPr>
    <tabColor rgb="FF00B0F0"/>
  </sheetPr>
  <dimension ref="A1:V46"/>
  <sheetViews>
    <sheetView zoomScale="114" workbookViewId="0">
      <pane xSplit="1" topLeftCell="L1" activePane="topRight" state="frozen"/>
      <selection pane="topRight" activeCell="S14" sqref="S14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19" max="19" width="12.5" bestFit="1" customWidth="1"/>
    <col min="20" max="20" width="22" bestFit="1" customWidth="1"/>
  </cols>
  <sheetData>
    <row r="1" spans="1:22" x14ac:dyDescent="0.2">
      <c r="A1" s="4" t="s">
        <v>27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S1" t="s">
        <v>90</v>
      </c>
      <c r="T1">
        <v>9</v>
      </c>
    </row>
    <row r="2" spans="1:22" x14ac:dyDescent="0.2">
      <c r="A2" s="1" t="s">
        <v>1</v>
      </c>
      <c r="F2">
        <v>10</v>
      </c>
      <c r="Q2" s="8"/>
      <c r="T2" s="1" t="s">
        <v>1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</row>
    <row r="7" spans="1:22" s="2" customFormat="1" x14ac:dyDescent="0.2">
      <c r="A7" s="3" t="s">
        <v>7</v>
      </c>
      <c r="B7" s="3">
        <f>(B2+B3)</f>
        <v>0</v>
      </c>
      <c r="C7" s="3">
        <f t="shared" ref="C7:P7" si="0">(C2+C3)</f>
        <v>0</v>
      </c>
      <c r="D7" s="3">
        <f t="shared" si="0"/>
        <v>0</v>
      </c>
      <c r="E7" s="3">
        <f t="shared" si="0"/>
        <v>0</v>
      </c>
      <c r="F7" s="3">
        <f t="shared" si="0"/>
        <v>10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5">
        <f>AVERAGE(B7:P7)</f>
        <v>0.66666666666666663</v>
      </c>
      <c r="R7" s="2" t="s">
        <v>16</v>
      </c>
      <c r="T7" s="19" t="s">
        <v>7</v>
      </c>
      <c r="U7" s="1">
        <f>Q7</f>
        <v>0.66666666666666663</v>
      </c>
      <c r="V7" s="1"/>
    </row>
    <row r="8" spans="1:22" x14ac:dyDescent="0.2">
      <c r="A8" s="1" t="s">
        <v>6</v>
      </c>
      <c r="B8">
        <v>10</v>
      </c>
      <c r="C8">
        <v>10</v>
      </c>
      <c r="D8">
        <v>5</v>
      </c>
      <c r="E8">
        <v>20</v>
      </c>
      <c r="G8">
        <v>5</v>
      </c>
      <c r="H8">
        <v>25</v>
      </c>
      <c r="I8">
        <v>50</v>
      </c>
      <c r="J8">
        <v>10</v>
      </c>
      <c r="K8">
        <v>10</v>
      </c>
      <c r="L8">
        <v>40</v>
      </c>
      <c r="M8">
        <v>10</v>
      </c>
      <c r="N8">
        <v>10</v>
      </c>
      <c r="O8">
        <v>40</v>
      </c>
      <c r="P8">
        <v>10</v>
      </c>
      <c r="Q8" s="9">
        <f>SUM(B8:P8)</f>
        <v>255</v>
      </c>
      <c r="R8">
        <f>AVERAGE(B8:P8)</f>
        <v>18.214285714285715</v>
      </c>
      <c r="T8" s="1" t="s">
        <v>6</v>
      </c>
      <c r="U8">
        <f>Q8/V$11*100</f>
        <v>69.863013698630141</v>
      </c>
    </row>
    <row r="9" spans="1:22" x14ac:dyDescent="0.2">
      <c r="A9" t="s">
        <v>34</v>
      </c>
      <c r="G9">
        <v>5</v>
      </c>
      <c r="H9">
        <v>5</v>
      </c>
      <c r="J9">
        <v>5</v>
      </c>
      <c r="K9">
        <v>5</v>
      </c>
      <c r="L9">
        <v>5</v>
      </c>
      <c r="N9">
        <v>5</v>
      </c>
      <c r="P9">
        <v>5</v>
      </c>
      <c r="Q9" s="9">
        <f t="shared" ref="Q9" si="1">SUM(B9:P9)</f>
        <v>35</v>
      </c>
      <c r="R9">
        <f t="shared" ref="R9" si="2">AVERAGE(B9:P9)</f>
        <v>5</v>
      </c>
      <c r="T9" t="s">
        <v>34</v>
      </c>
      <c r="U9">
        <f>Q9/V$11*100</f>
        <v>9.5890410958904102</v>
      </c>
    </row>
    <row r="10" spans="1:22" x14ac:dyDescent="0.2">
      <c r="A10" t="s">
        <v>47</v>
      </c>
      <c r="B10">
        <v>10</v>
      </c>
      <c r="C10">
        <v>5</v>
      </c>
      <c r="D10">
        <v>5</v>
      </c>
      <c r="E10">
        <v>10</v>
      </c>
      <c r="F10">
        <v>5</v>
      </c>
      <c r="I10">
        <v>5</v>
      </c>
      <c r="J10">
        <v>5</v>
      </c>
      <c r="K10">
        <v>10</v>
      </c>
      <c r="M10">
        <v>10</v>
      </c>
      <c r="N10">
        <v>5</v>
      </c>
      <c r="P10">
        <v>5</v>
      </c>
      <c r="Q10" s="9">
        <f>SUM(B10:P10)</f>
        <v>75</v>
      </c>
      <c r="R10">
        <f>AVERAGE(B10:P10)</f>
        <v>6.8181818181818183</v>
      </c>
      <c r="T10" t="s">
        <v>47</v>
      </c>
      <c r="U10">
        <f>Q10/V$11*100</f>
        <v>20.547945205479451</v>
      </c>
    </row>
    <row r="11" spans="1:22" s="2" customFormat="1" x14ac:dyDescent="0.2">
      <c r="A11" s="3" t="s">
        <v>7</v>
      </c>
      <c r="B11" s="3">
        <f>(B8+B9+B10)</f>
        <v>20</v>
      </c>
      <c r="C11" s="3">
        <f t="shared" ref="C11:P11" si="3">(C8+C9+C10)</f>
        <v>15</v>
      </c>
      <c r="D11" s="3">
        <f t="shared" si="3"/>
        <v>10</v>
      </c>
      <c r="E11" s="3">
        <f t="shared" si="3"/>
        <v>30</v>
      </c>
      <c r="F11" s="3">
        <f t="shared" si="3"/>
        <v>5</v>
      </c>
      <c r="G11" s="3">
        <f t="shared" si="3"/>
        <v>10</v>
      </c>
      <c r="H11" s="3">
        <f t="shared" si="3"/>
        <v>30</v>
      </c>
      <c r="I11" s="3">
        <f t="shared" si="3"/>
        <v>55</v>
      </c>
      <c r="J11" s="3">
        <f t="shared" si="3"/>
        <v>20</v>
      </c>
      <c r="K11" s="3">
        <f t="shared" si="3"/>
        <v>25</v>
      </c>
      <c r="L11" s="3">
        <f t="shared" si="3"/>
        <v>45</v>
      </c>
      <c r="M11" s="3">
        <f t="shared" si="3"/>
        <v>20</v>
      </c>
      <c r="N11" s="3">
        <f t="shared" si="3"/>
        <v>20</v>
      </c>
      <c r="O11" s="3">
        <f t="shared" si="3"/>
        <v>40</v>
      </c>
      <c r="P11" s="3">
        <f t="shared" si="3"/>
        <v>20</v>
      </c>
      <c r="Q11" s="5">
        <f>AVERAGE(B11:P11)</f>
        <v>24.333333333333332</v>
      </c>
      <c r="T11" s="19" t="s">
        <v>7</v>
      </c>
      <c r="U11" s="1">
        <f>Q11</f>
        <v>24.333333333333332</v>
      </c>
      <c r="V11" s="1">
        <f>SUM(Q8:Q10)</f>
        <v>365</v>
      </c>
    </row>
    <row r="12" spans="1:22" x14ac:dyDescent="0.2">
      <c r="A12" s="1" t="s">
        <v>8</v>
      </c>
      <c r="B12">
        <v>30</v>
      </c>
      <c r="C12">
        <v>35</v>
      </c>
      <c r="D12">
        <v>25</v>
      </c>
      <c r="E12">
        <v>30</v>
      </c>
      <c r="F12">
        <v>30</v>
      </c>
      <c r="G12">
        <v>30</v>
      </c>
      <c r="H12">
        <v>25</v>
      </c>
      <c r="I12">
        <v>20</v>
      </c>
      <c r="J12">
        <v>25</v>
      </c>
      <c r="K12">
        <v>45</v>
      </c>
      <c r="L12">
        <v>25</v>
      </c>
      <c r="M12">
        <v>30</v>
      </c>
      <c r="N12">
        <v>40</v>
      </c>
      <c r="O12">
        <v>25</v>
      </c>
      <c r="P12">
        <v>40</v>
      </c>
      <c r="Q12" s="9"/>
      <c r="T12" s="1" t="s">
        <v>8</v>
      </c>
    </row>
    <row r="13" spans="1:22" x14ac:dyDescent="0.2">
      <c r="A13" s="1"/>
      <c r="Q13" s="9"/>
      <c r="T13" s="1"/>
    </row>
    <row r="14" spans="1:22" x14ac:dyDescent="0.2">
      <c r="A14" s="1"/>
      <c r="Q14" s="9"/>
      <c r="T14" s="1"/>
    </row>
    <row r="15" spans="1:22" x14ac:dyDescent="0.2">
      <c r="Q15" s="9"/>
    </row>
    <row r="16" spans="1:22" s="2" customFormat="1" x14ac:dyDescent="0.2">
      <c r="A16" s="3" t="s">
        <v>7</v>
      </c>
      <c r="B16" s="3">
        <f>(B12)</f>
        <v>30</v>
      </c>
      <c r="C16" s="3">
        <f t="shared" ref="C16:P16" si="4">(C12)</f>
        <v>35</v>
      </c>
      <c r="D16" s="3">
        <f t="shared" si="4"/>
        <v>25</v>
      </c>
      <c r="E16" s="3">
        <f t="shared" si="4"/>
        <v>30</v>
      </c>
      <c r="F16" s="3">
        <f t="shared" si="4"/>
        <v>30</v>
      </c>
      <c r="G16" s="3">
        <f t="shared" si="4"/>
        <v>30</v>
      </c>
      <c r="H16" s="3">
        <f t="shared" si="4"/>
        <v>25</v>
      </c>
      <c r="I16" s="3">
        <f t="shared" si="4"/>
        <v>20</v>
      </c>
      <c r="J16" s="3">
        <f>(J12)</f>
        <v>25</v>
      </c>
      <c r="K16" s="3">
        <f t="shared" si="4"/>
        <v>45</v>
      </c>
      <c r="L16" s="3">
        <f t="shared" si="4"/>
        <v>25</v>
      </c>
      <c r="M16" s="3">
        <f t="shared" si="4"/>
        <v>30</v>
      </c>
      <c r="N16" s="3">
        <f t="shared" si="4"/>
        <v>40</v>
      </c>
      <c r="O16" s="3">
        <f t="shared" si="4"/>
        <v>25</v>
      </c>
      <c r="P16" s="3">
        <f t="shared" si="4"/>
        <v>40</v>
      </c>
      <c r="Q16" s="5">
        <f>AVERAGE(B16:P16)</f>
        <v>30.333333333333332</v>
      </c>
      <c r="R16" s="2" t="s">
        <v>16</v>
      </c>
      <c r="T16" s="19" t="s">
        <v>7</v>
      </c>
      <c r="U16" s="1">
        <f>Q16</f>
        <v>30.333333333333332</v>
      </c>
      <c r="V16" s="1"/>
    </row>
    <row r="17" spans="1:22" x14ac:dyDescent="0.2">
      <c r="A17" s="1" t="s">
        <v>9</v>
      </c>
      <c r="H17">
        <v>10</v>
      </c>
      <c r="J17">
        <v>10</v>
      </c>
      <c r="L17">
        <v>10</v>
      </c>
      <c r="N17">
        <v>5</v>
      </c>
      <c r="Q17" s="9">
        <f>SUM(B17:P17)</f>
        <v>35</v>
      </c>
      <c r="R17">
        <f>AVERAGE(B17:P17)</f>
        <v>8.75</v>
      </c>
      <c r="T17" s="1" t="s">
        <v>9</v>
      </c>
      <c r="U17">
        <f>Q17/V$23*100</f>
        <v>5.3030303030303028</v>
      </c>
    </row>
    <row r="18" spans="1:22" x14ac:dyDescent="0.2">
      <c r="A18" s="2" t="s">
        <v>14</v>
      </c>
      <c r="B18">
        <v>50</v>
      </c>
      <c r="C18">
        <v>50</v>
      </c>
      <c r="D18">
        <v>65</v>
      </c>
      <c r="E18">
        <v>40</v>
      </c>
      <c r="F18">
        <v>55</v>
      </c>
      <c r="G18">
        <v>60</v>
      </c>
      <c r="H18">
        <v>35</v>
      </c>
      <c r="I18">
        <v>25</v>
      </c>
      <c r="J18">
        <v>45</v>
      </c>
      <c r="K18">
        <v>30</v>
      </c>
      <c r="L18">
        <v>20</v>
      </c>
      <c r="M18">
        <v>50</v>
      </c>
      <c r="N18">
        <v>35</v>
      </c>
      <c r="O18">
        <v>35</v>
      </c>
      <c r="P18">
        <v>30</v>
      </c>
      <c r="Q18" s="9">
        <f t="shared" ref="Q18:Q20" si="5">SUM(B18:P18)</f>
        <v>625</v>
      </c>
      <c r="R18">
        <f t="shared" ref="R18" si="6">AVERAGE(B18:P18)</f>
        <v>41.666666666666664</v>
      </c>
      <c r="T18" s="2" t="s">
        <v>14</v>
      </c>
      <c r="U18">
        <f t="shared" ref="U18" si="7">Q18/V$23*100</f>
        <v>94.696969696969703</v>
      </c>
    </row>
    <row r="19" spans="1:22" x14ac:dyDescent="0.2">
      <c r="A19" t="s">
        <v>26</v>
      </c>
      <c r="Q19" s="9">
        <f t="shared" si="5"/>
        <v>0</v>
      </c>
      <c r="T19" t="s">
        <v>26</v>
      </c>
    </row>
    <row r="20" spans="1:22" x14ac:dyDescent="0.2">
      <c r="Q20" s="9">
        <f t="shared" si="5"/>
        <v>0</v>
      </c>
      <c r="T20" t="s">
        <v>65</v>
      </c>
    </row>
    <row r="21" spans="1:22" s="2" customFormat="1" x14ac:dyDescent="0.2">
      <c r="A21" s="3" t="s">
        <v>7</v>
      </c>
      <c r="B21" s="3">
        <f>(B17+B18)</f>
        <v>50</v>
      </c>
      <c r="C21" s="3">
        <f t="shared" ref="C21:O21" si="8">(C17+C18)</f>
        <v>50</v>
      </c>
      <c r="D21" s="3">
        <f t="shared" si="8"/>
        <v>65</v>
      </c>
      <c r="E21" s="3">
        <f t="shared" si="8"/>
        <v>40</v>
      </c>
      <c r="F21" s="3">
        <f t="shared" si="8"/>
        <v>55</v>
      </c>
      <c r="G21" s="3">
        <f t="shared" si="8"/>
        <v>60</v>
      </c>
      <c r="H21" s="3">
        <f t="shared" si="8"/>
        <v>45</v>
      </c>
      <c r="I21" s="3">
        <f t="shared" si="8"/>
        <v>25</v>
      </c>
      <c r="J21" s="3">
        <f t="shared" si="8"/>
        <v>55</v>
      </c>
      <c r="K21" s="3">
        <f t="shared" si="8"/>
        <v>30</v>
      </c>
      <c r="L21" s="3">
        <f t="shared" si="8"/>
        <v>30</v>
      </c>
      <c r="M21" s="3">
        <f t="shared" si="8"/>
        <v>50</v>
      </c>
      <c r="N21" s="3">
        <f t="shared" si="8"/>
        <v>40</v>
      </c>
      <c r="O21" s="3">
        <f t="shared" si="8"/>
        <v>35</v>
      </c>
      <c r="P21" s="3">
        <v>40</v>
      </c>
      <c r="Q21" s="5">
        <f>AVERAGE(B21:P21)</f>
        <v>44.666666666666664</v>
      </c>
      <c r="R21" s="2" t="s">
        <v>16</v>
      </c>
      <c r="T21" t="s">
        <v>66</v>
      </c>
      <c r="U21"/>
      <c r="V21" s="1"/>
    </row>
    <row r="22" spans="1:22" x14ac:dyDescent="0.2">
      <c r="A22" s="1" t="s">
        <v>10</v>
      </c>
      <c r="Q22" s="11" t="s">
        <v>39</v>
      </c>
      <c r="R22" s="12" t="s">
        <v>38</v>
      </c>
      <c r="T22" t="s">
        <v>89</v>
      </c>
    </row>
    <row r="23" spans="1:22" x14ac:dyDescent="0.2">
      <c r="A23" s="2" t="s">
        <v>18</v>
      </c>
      <c r="B23">
        <v>5</v>
      </c>
      <c r="C23">
        <v>11</v>
      </c>
      <c r="D23">
        <v>5</v>
      </c>
      <c r="E23">
        <v>4</v>
      </c>
      <c r="F23">
        <v>6</v>
      </c>
      <c r="G23">
        <v>7</v>
      </c>
      <c r="H23">
        <v>8</v>
      </c>
      <c r="I23">
        <v>6</v>
      </c>
      <c r="J23">
        <v>5</v>
      </c>
      <c r="K23">
        <v>8</v>
      </c>
      <c r="L23">
        <v>6</v>
      </c>
      <c r="M23">
        <v>4</v>
      </c>
      <c r="N23">
        <v>7</v>
      </c>
      <c r="O23">
        <v>6</v>
      </c>
      <c r="P23">
        <v>12</v>
      </c>
      <c r="Q23" s="9">
        <f>SUM(B23:P23)</f>
        <v>100</v>
      </c>
      <c r="R23">
        <f>Q23/Q$29*100</f>
        <v>95.238095238095227</v>
      </c>
      <c r="T23" s="19" t="s">
        <v>7</v>
      </c>
      <c r="U23" s="1">
        <f>Q21</f>
        <v>44.666666666666664</v>
      </c>
      <c r="V23">
        <f>SUM(Q17:Q20)</f>
        <v>660</v>
      </c>
    </row>
    <row r="24" spans="1:22" x14ac:dyDescent="0.2">
      <c r="A24" s="2" t="s">
        <v>19</v>
      </c>
      <c r="H24">
        <v>2</v>
      </c>
      <c r="L24">
        <v>2</v>
      </c>
      <c r="Q24" s="9">
        <f t="shared" ref="Q24:Q27" si="9">SUM(B24:P24)</f>
        <v>4</v>
      </c>
      <c r="R24">
        <f t="shared" ref="R24:R28" si="10">Q24/Q$29*100</f>
        <v>3.8095238095238098</v>
      </c>
      <c r="T24" s="1" t="s">
        <v>10</v>
      </c>
    </row>
    <row r="25" spans="1:22" x14ac:dyDescent="0.2">
      <c r="A25" s="2" t="s">
        <v>20</v>
      </c>
      <c r="E25">
        <v>1</v>
      </c>
      <c r="Q25" s="9">
        <f t="shared" si="9"/>
        <v>1</v>
      </c>
      <c r="R25">
        <f t="shared" si="10"/>
        <v>0.95238095238095244</v>
      </c>
      <c r="T25" s="2" t="s">
        <v>18</v>
      </c>
      <c r="U25" cm="1">
        <f t="array" ref="U25:U30">Q23:Q28</f>
        <v>100</v>
      </c>
    </row>
    <row r="26" spans="1:22" x14ac:dyDescent="0.2">
      <c r="A26" s="2" t="s">
        <v>21</v>
      </c>
      <c r="Q26" s="9">
        <f t="shared" si="9"/>
        <v>0</v>
      </c>
      <c r="R26">
        <f t="shared" si="10"/>
        <v>0</v>
      </c>
      <c r="T26" s="2" t="s">
        <v>19</v>
      </c>
      <c r="U26">
        <v>4</v>
      </c>
    </row>
    <row r="27" spans="1:22" x14ac:dyDescent="0.2">
      <c r="A27" s="2" t="s">
        <v>22</v>
      </c>
      <c r="Q27" s="9">
        <f t="shared" si="9"/>
        <v>0</v>
      </c>
      <c r="R27">
        <f t="shared" si="10"/>
        <v>0</v>
      </c>
      <c r="T27" s="2" t="s">
        <v>20</v>
      </c>
      <c r="U27">
        <v>1</v>
      </c>
    </row>
    <row r="28" spans="1:22" x14ac:dyDescent="0.2">
      <c r="A28" s="2" t="s">
        <v>23</v>
      </c>
      <c r="Q28" s="9">
        <f>SUM(B28:P28)</f>
        <v>0</v>
      </c>
      <c r="R28">
        <f t="shared" si="10"/>
        <v>0</v>
      </c>
      <c r="T28" s="2" t="s">
        <v>21</v>
      </c>
      <c r="U28">
        <v>0</v>
      </c>
    </row>
    <row r="29" spans="1:22" s="2" customFormat="1" x14ac:dyDescent="0.2">
      <c r="A29" s="3" t="s">
        <v>7</v>
      </c>
      <c r="B29" s="3">
        <f t="shared" ref="B29:P29" si="11">(B22)</f>
        <v>0</v>
      </c>
      <c r="C29" s="3">
        <f t="shared" si="11"/>
        <v>0</v>
      </c>
      <c r="D29" s="3">
        <f t="shared" si="11"/>
        <v>0</v>
      </c>
      <c r="E29" s="3">
        <f t="shared" si="11"/>
        <v>0</v>
      </c>
      <c r="F29" s="3">
        <f t="shared" si="11"/>
        <v>0</v>
      </c>
      <c r="G29" s="3">
        <f t="shared" si="11"/>
        <v>0</v>
      </c>
      <c r="H29" s="3">
        <f t="shared" si="11"/>
        <v>0</v>
      </c>
      <c r="I29" s="3">
        <f t="shared" si="11"/>
        <v>0</v>
      </c>
      <c r="J29" s="3">
        <f t="shared" si="11"/>
        <v>0</v>
      </c>
      <c r="K29" s="3">
        <f t="shared" si="11"/>
        <v>0</v>
      </c>
      <c r="L29" s="3">
        <f t="shared" si="11"/>
        <v>0</v>
      </c>
      <c r="M29" s="3">
        <f t="shared" si="11"/>
        <v>0</v>
      </c>
      <c r="N29" s="3">
        <f t="shared" si="11"/>
        <v>0</v>
      </c>
      <c r="O29" s="3">
        <f t="shared" si="11"/>
        <v>0</v>
      </c>
      <c r="P29" s="3">
        <f t="shared" si="11"/>
        <v>0</v>
      </c>
      <c r="Q29" s="6">
        <f>SUM(Q23:Q28)</f>
        <v>105</v>
      </c>
      <c r="R29" s="2" t="s">
        <v>17</v>
      </c>
      <c r="T29" s="2" t="s">
        <v>22</v>
      </c>
      <c r="U29">
        <v>0</v>
      </c>
      <c r="V29" s="1"/>
    </row>
    <row r="30" spans="1:22" x14ac:dyDescent="0.2">
      <c r="Q30" s="9"/>
      <c r="T30" s="2" t="s">
        <v>23</v>
      </c>
      <c r="U30" s="1">
        <v>0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2">(C21+C16+C11+C7)</f>
        <v>100</v>
      </c>
      <c r="D31" s="4">
        <f t="shared" si="12"/>
        <v>100</v>
      </c>
      <c r="E31" s="4">
        <f t="shared" si="12"/>
        <v>100</v>
      </c>
      <c r="F31" s="4">
        <f t="shared" si="12"/>
        <v>100</v>
      </c>
      <c r="G31" s="4">
        <f t="shared" si="12"/>
        <v>100</v>
      </c>
      <c r="H31" s="4">
        <f t="shared" si="12"/>
        <v>100</v>
      </c>
      <c r="I31" s="4">
        <f t="shared" si="12"/>
        <v>100</v>
      </c>
      <c r="J31" s="4">
        <f t="shared" si="12"/>
        <v>100</v>
      </c>
      <c r="K31" s="4">
        <f t="shared" si="12"/>
        <v>100</v>
      </c>
      <c r="L31" s="4">
        <f t="shared" si="12"/>
        <v>100</v>
      </c>
      <c r="M31" s="4">
        <f t="shared" si="12"/>
        <v>100</v>
      </c>
      <c r="N31" s="4">
        <f t="shared" si="12"/>
        <v>100</v>
      </c>
      <c r="O31" s="4">
        <f t="shared" si="12"/>
        <v>100</v>
      </c>
      <c r="P31" s="4">
        <f t="shared" si="12"/>
        <v>100</v>
      </c>
      <c r="Q31" s="7">
        <f>SUM(Q21+Q16+Q11+Q7)</f>
        <v>100</v>
      </c>
      <c r="T31" s="3" t="s">
        <v>7</v>
      </c>
      <c r="U31" s="1">
        <f>Q29</f>
        <v>105</v>
      </c>
      <c r="V31"/>
    </row>
    <row r="35" spans="1:3" x14ac:dyDescent="0.2">
      <c r="A35" s="4" t="s">
        <v>27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C37">
        <f>B37/B$41*100</f>
        <v>0</v>
      </c>
    </row>
    <row r="38" spans="1:3" x14ac:dyDescent="0.2">
      <c r="A38" t="s">
        <v>3</v>
      </c>
      <c r="C38">
        <f t="shared" ref="C38:C41" si="13">B38/B$41*100</f>
        <v>0</v>
      </c>
    </row>
    <row r="39" spans="1:3" x14ac:dyDescent="0.2">
      <c r="A39" t="s">
        <v>4</v>
      </c>
      <c r="B39">
        <v>4</v>
      </c>
      <c r="C39">
        <f t="shared" si="13"/>
        <v>100</v>
      </c>
    </row>
    <row r="40" spans="1:3" x14ac:dyDescent="0.2">
      <c r="A40" t="s">
        <v>5</v>
      </c>
      <c r="C40">
        <f t="shared" si="13"/>
        <v>0</v>
      </c>
    </row>
    <row r="41" spans="1:3" x14ac:dyDescent="0.2">
      <c r="A41" s="1" t="s">
        <v>13</v>
      </c>
      <c r="B41">
        <f>(B40+B39+B38+B37)</f>
        <v>4</v>
      </c>
      <c r="C41">
        <f t="shared" si="13"/>
        <v>100</v>
      </c>
    </row>
    <row r="44" spans="1:3" x14ac:dyDescent="0.2">
      <c r="A44" s="1" t="s">
        <v>53</v>
      </c>
      <c r="B44" t="s">
        <v>79</v>
      </c>
    </row>
    <row r="45" spans="1:3" x14ac:dyDescent="0.2">
      <c r="B45" t="s">
        <v>80</v>
      </c>
    </row>
    <row r="46" spans="1:3" x14ac:dyDescent="0.2">
      <c r="B46" t="s">
        <v>81</v>
      </c>
    </row>
  </sheetData>
  <conditionalFormatting sqref="B41">
    <cfRule type="cellIs" dxfId="58" priority="1" operator="lessThan">
      <formula>30</formula>
    </cfRule>
    <cfRule type="cellIs" dxfId="57" priority="2" operator="equal">
      <formula>30</formula>
    </cfRule>
  </conditionalFormatting>
  <conditionalFormatting sqref="B31:P31">
    <cfRule type="cellIs" dxfId="56" priority="3" operator="lessThan">
      <formula>100</formula>
    </cfRule>
    <cfRule type="cellIs" dxfId="55" priority="4" operator="equal">
      <formula>100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1317-947F-8444-BF89-9029B2FAD4EF}">
  <sheetPr>
    <tabColor rgb="FF00B0F0"/>
  </sheetPr>
  <dimension ref="A1:V52"/>
  <sheetViews>
    <sheetView topLeftCell="A22" workbookViewId="0">
      <pane xSplit="1" topLeftCell="B1" activePane="topRight" state="frozen"/>
      <selection activeCell="A12" sqref="A12"/>
      <selection pane="topRight" activeCell="C44" sqref="C44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" bestFit="1" customWidth="1"/>
  </cols>
  <sheetData>
    <row r="1" spans="1:22" x14ac:dyDescent="0.2">
      <c r="A1" s="4" t="s">
        <v>35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T1">
        <v>19</v>
      </c>
    </row>
    <row r="2" spans="1:22" x14ac:dyDescent="0.2">
      <c r="A2" s="1" t="s">
        <v>1</v>
      </c>
      <c r="B2">
        <v>50</v>
      </c>
      <c r="C2">
        <v>60</v>
      </c>
      <c r="D2">
        <v>40</v>
      </c>
      <c r="E2">
        <v>50</v>
      </c>
      <c r="F2">
        <v>50</v>
      </c>
      <c r="G2">
        <v>50</v>
      </c>
      <c r="H2">
        <v>40</v>
      </c>
      <c r="I2">
        <v>60</v>
      </c>
      <c r="J2">
        <v>45</v>
      </c>
      <c r="K2">
        <v>50</v>
      </c>
      <c r="L2">
        <v>40</v>
      </c>
      <c r="M2">
        <v>45</v>
      </c>
      <c r="N2">
        <v>40</v>
      </c>
      <c r="O2">
        <v>55</v>
      </c>
      <c r="P2">
        <v>40</v>
      </c>
      <c r="Q2" s="8"/>
      <c r="T2" s="1" t="s">
        <v>1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</row>
    <row r="7" spans="1:22" s="2" customFormat="1" x14ac:dyDescent="0.2">
      <c r="A7" s="3" t="s">
        <v>7</v>
      </c>
      <c r="B7" s="3">
        <f>(B2+B3)</f>
        <v>50</v>
      </c>
      <c r="C7" s="3">
        <f t="shared" ref="C7:P7" si="0">(C2+C3)</f>
        <v>60</v>
      </c>
      <c r="D7" s="3">
        <f t="shared" si="0"/>
        <v>40</v>
      </c>
      <c r="E7" s="3">
        <f t="shared" si="0"/>
        <v>50</v>
      </c>
      <c r="F7" s="3">
        <f t="shared" si="0"/>
        <v>50</v>
      </c>
      <c r="G7" s="3">
        <f t="shared" si="0"/>
        <v>50</v>
      </c>
      <c r="H7" s="3">
        <f t="shared" si="0"/>
        <v>40</v>
      </c>
      <c r="I7" s="3">
        <f t="shared" si="0"/>
        <v>60</v>
      </c>
      <c r="J7" s="3">
        <f t="shared" si="0"/>
        <v>45</v>
      </c>
      <c r="K7" s="3">
        <f t="shared" si="0"/>
        <v>50</v>
      </c>
      <c r="L7" s="3">
        <f t="shared" si="0"/>
        <v>40</v>
      </c>
      <c r="M7" s="3">
        <f t="shared" si="0"/>
        <v>45</v>
      </c>
      <c r="N7" s="3">
        <f t="shared" si="0"/>
        <v>40</v>
      </c>
      <c r="O7" s="3">
        <f t="shared" si="0"/>
        <v>55</v>
      </c>
      <c r="P7" s="3">
        <f t="shared" si="0"/>
        <v>40</v>
      </c>
      <c r="Q7" s="5">
        <f>AVERAGE(B7:P7)</f>
        <v>47.666666666666664</v>
      </c>
      <c r="R7" s="2" t="s">
        <v>16</v>
      </c>
      <c r="T7" s="19" t="s">
        <v>7</v>
      </c>
      <c r="U7" s="2">
        <f>Q7</f>
        <v>47.666666666666664</v>
      </c>
    </row>
    <row r="8" spans="1:22" x14ac:dyDescent="0.2">
      <c r="A8" s="1" t="s">
        <v>6</v>
      </c>
      <c r="B8">
        <v>10</v>
      </c>
      <c r="D8">
        <v>10</v>
      </c>
      <c r="F8">
        <v>10</v>
      </c>
      <c r="G8">
        <v>10</v>
      </c>
      <c r="J8">
        <v>10</v>
      </c>
      <c r="L8">
        <v>5</v>
      </c>
      <c r="Q8" s="9">
        <f>SUM(B8:P8)</f>
        <v>55</v>
      </c>
      <c r="T8" s="1" t="s">
        <v>6</v>
      </c>
      <c r="U8">
        <f>Q8/V$11*100</f>
        <v>40.74074074074074</v>
      </c>
    </row>
    <row r="9" spans="1:22" x14ac:dyDescent="0.2">
      <c r="A9" t="s">
        <v>34</v>
      </c>
      <c r="Q9" s="9">
        <f t="shared" ref="Q9:Q10" si="1">SUM(B9:P9)</f>
        <v>0</v>
      </c>
      <c r="T9" t="s">
        <v>34</v>
      </c>
      <c r="U9">
        <f t="shared" ref="U9:U10" si="2">Q9/V$11*100</f>
        <v>0</v>
      </c>
    </row>
    <row r="10" spans="1:22" x14ac:dyDescent="0.2">
      <c r="A10" t="s">
        <v>47</v>
      </c>
      <c r="B10">
        <v>5</v>
      </c>
      <c r="C10">
        <v>10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 s="9">
        <f t="shared" si="1"/>
        <v>80</v>
      </c>
      <c r="T10" t="s">
        <v>47</v>
      </c>
      <c r="U10">
        <f t="shared" si="2"/>
        <v>59.259259259259252</v>
      </c>
    </row>
    <row r="11" spans="1:22" s="2" customFormat="1" x14ac:dyDescent="0.2">
      <c r="A11" s="3" t="s">
        <v>7</v>
      </c>
      <c r="B11" s="3">
        <f>(B8+B9+B10)</f>
        <v>15</v>
      </c>
      <c r="C11" s="3">
        <f t="shared" ref="C11:P11" si="3">(C8+C9+C10)</f>
        <v>10</v>
      </c>
      <c r="D11" s="3">
        <f t="shared" si="3"/>
        <v>15</v>
      </c>
      <c r="E11" s="3">
        <f t="shared" si="3"/>
        <v>5</v>
      </c>
      <c r="F11" s="3">
        <f t="shared" si="3"/>
        <v>15</v>
      </c>
      <c r="G11" s="3">
        <f t="shared" si="3"/>
        <v>15</v>
      </c>
      <c r="H11" s="3">
        <f t="shared" si="3"/>
        <v>5</v>
      </c>
      <c r="I11" s="3">
        <f t="shared" si="3"/>
        <v>5</v>
      </c>
      <c r="J11" s="3">
        <f t="shared" si="3"/>
        <v>15</v>
      </c>
      <c r="K11" s="3">
        <f t="shared" si="3"/>
        <v>5</v>
      </c>
      <c r="L11" s="3">
        <f t="shared" si="3"/>
        <v>10</v>
      </c>
      <c r="M11" s="3">
        <f t="shared" si="3"/>
        <v>5</v>
      </c>
      <c r="N11" s="3">
        <f t="shared" si="3"/>
        <v>5</v>
      </c>
      <c r="O11" s="3">
        <f t="shared" si="3"/>
        <v>5</v>
      </c>
      <c r="P11" s="3">
        <f t="shared" si="3"/>
        <v>5</v>
      </c>
      <c r="Q11" s="5">
        <f>AVERAGE(B11:P11)</f>
        <v>9</v>
      </c>
      <c r="R11" s="2" t="s">
        <v>16</v>
      </c>
      <c r="T11" s="19" t="s">
        <v>7</v>
      </c>
      <c r="U11" s="2">
        <f>Q11</f>
        <v>9</v>
      </c>
      <c r="V11" s="2">
        <f>SUM(Q8:Q10)</f>
        <v>135</v>
      </c>
    </row>
    <row r="12" spans="1:22" x14ac:dyDescent="0.2">
      <c r="A12" s="1" t="s">
        <v>8</v>
      </c>
      <c r="B12">
        <v>20</v>
      </c>
      <c r="C12">
        <v>20</v>
      </c>
      <c r="D12">
        <v>25</v>
      </c>
      <c r="E12">
        <v>20</v>
      </c>
      <c r="F12">
        <v>15</v>
      </c>
      <c r="G12">
        <v>20</v>
      </c>
      <c r="H12">
        <v>25</v>
      </c>
      <c r="I12">
        <v>15</v>
      </c>
      <c r="J12">
        <v>15</v>
      </c>
      <c r="K12">
        <v>25</v>
      </c>
      <c r="L12">
        <v>25</v>
      </c>
      <c r="M12">
        <v>30</v>
      </c>
      <c r="N12">
        <v>30</v>
      </c>
      <c r="O12">
        <v>10</v>
      </c>
      <c r="P12">
        <v>30</v>
      </c>
      <c r="Q12" s="9"/>
      <c r="T12" s="1" t="s">
        <v>8</v>
      </c>
    </row>
    <row r="13" spans="1:22" x14ac:dyDescent="0.2">
      <c r="A13" s="1"/>
      <c r="Q13" s="9"/>
      <c r="T13" s="1"/>
    </row>
    <row r="14" spans="1:22" x14ac:dyDescent="0.2">
      <c r="A14" s="1"/>
      <c r="Q14" s="9"/>
      <c r="T14" s="1"/>
    </row>
    <row r="15" spans="1:22" x14ac:dyDescent="0.2">
      <c r="Q15" s="9"/>
    </row>
    <row r="16" spans="1:22" s="2" customFormat="1" x14ac:dyDescent="0.2">
      <c r="A16" s="3" t="s">
        <v>7</v>
      </c>
      <c r="B16" s="3">
        <f>(B12)</f>
        <v>20</v>
      </c>
      <c r="C16" s="3">
        <f t="shared" ref="C16:P16" si="4">(C12)</f>
        <v>20</v>
      </c>
      <c r="D16" s="3">
        <f t="shared" si="4"/>
        <v>25</v>
      </c>
      <c r="E16" s="3">
        <f t="shared" si="4"/>
        <v>20</v>
      </c>
      <c r="F16" s="3">
        <f t="shared" si="4"/>
        <v>15</v>
      </c>
      <c r="G16" s="3">
        <f t="shared" si="4"/>
        <v>20</v>
      </c>
      <c r="H16" s="3">
        <f t="shared" si="4"/>
        <v>25</v>
      </c>
      <c r="I16" s="3">
        <f t="shared" si="4"/>
        <v>15</v>
      </c>
      <c r="J16" s="3">
        <f>(J12)</f>
        <v>15</v>
      </c>
      <c r="K16" s="3">
        <f t="shared" si="4"/>
        <v>25</v>
      </c>
      <c r="L16" s="3">
        <f t="shared" si="4"/>
        <v>25</v>
      </c>
      <c r="M16" s="3">
        <f t="shared" si="4"/>
        <v>30</v>
      </c>
      <c r="N16" s="3">
        <f t="shared" si="4"/>
        <v>30</v>
      </c>
      <c r="O16" s="3">
        <f t="shared" si="4"/>
        <v>10</v>
      </c>
      <c r="P16" s="3">
        <f t="shared" si="4"/>
        <v>30</v>
      </c>
      <c r="Q16" s="5">
        <f>AVERAGE(B16:P16)</f>
        <v>21.666666666666668</v>
      </c>
      <c r="R16" s="2" t="s">
        <v>16</v>
      </c>
      <c r="T16" s="19" t="s">
        <v>7</v>
      </c>
      <c r="U16" s="2">
        <f>Q16</f>
        <v>21.666666666666668</v>
      </c>
    </row>
    <row r="17" spans="1:22" x14ac:dyDescent="0.2">
      <c r="A17" s="1" t="s">
        <v>9</v>
      </c>
      <c r="E17">
        <v>5</v>
      </c>
      <c r="H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 s="9">
        <f>SUM(B17:P17)</f>
        <v>45</v>
      </c>
      <c r="T17" s="1" t="s">
        <v>9</v>
      </c>
      <c r="U17">
        <f>Q17/V$23*100</f>
        <v>13.846153846153847</v>
      </c>
    </row>
    <row r="18" spans="1:22" x14ac:dyDescent="0.2">
      <c r="A18" s="2" t="s">
        <v>14</v>
      </c>
      <c r="B18">
        <v>15</v>
      </c>
      <c r="C18">
        <v>10</v>
      </c>
      <c r="D18">
        <v>20</v>
      </c>
      <c r="E18">
        <v>20</v>
      </c>
      <c r="F18">
        <v>20</v>
      </c>
      <c r="G18">
        <v>15</v>
      </c>
      <c r="H18">
        <v>25</v>
      </c>
      <c r="I18">
        <v>20</v>
      </c>
      <c r="J18">
        <v>20</v>
      </c>
      <c r="K18">
        <v>15</v>
      </c>
      <c r="L18">
        <v>20</v>
      </c>
      <c r="M18">
        <v>15</v>
      </c>
      <c r="N18">
        <v>20</v>
      </c>
      <c r="O18">
        <v>25</v>
      </c>
      <c r="P18">
        <v>20</v>
      </c>
      <c r="Q18" s="9">
        <f t="shared" ref="Q18:Q20" si="5">SUM(B18:P18)</f>
        <v>280</v>
      </c>
      <c r="T18" s="2" t="s">
        <v>14</v>
      </c>
      <c r="U18">
        <f>Q18/V$23*100</f>
        <v>86.15384615384616</v>
      </c>
    </row>
    <row r="19" spans="1:22" x14ac:dyDescent="0.2">
      <c r="A19" t="s">
        <v>26</v>
      </c>
      <c r="Q19" s="9">
        <f t="shared" si="5"/>
        <v>0</v>
      </c>
      <c r="R19" t="s">
        <v>42</v>
      </c>
      <c r="T19" t="s">
        <v>26</v>
      </c>
      <c r="U19">
        <f t="shared" ref="U19:U20" si="6">Q19/V$23*100</f>
        <v>0</v>
      </c>
    </row>
    <row r="20" spans="1:22" x14ac:dyDescent="0.2">
      <c r="Q20" s="9">
        <f t="shared" si="5"/>
        <v>0</v>
      </c>
      <c r="T20" t="s">
        <v>65</v>
      </c>
      <c r="U20">
        <f t="shared" si="6"/>
        <v>0</v>
      </c>
    </row>
    <row r="21" spans="1:22" s="2" customFormat="1" x14ac:dyDescent="0.2">
      <c r="A21" s="3" t="s">
        <v>7</v>
      </c>
      <c r="B21" s="3">
        <f>(B17+B18)</f>
        <v>15</v>
      </c>
      <c r="C21" s="3">
        <f t="shared" ref="C21:P21" si="7">(C17+C18)</f>
        <v>10</v>
      </c>
      <c r="D21" s="3">
        <f t="shared" si="7"/>
        <v>20</v>
      </c>
      <c r="E21" s="3">
        <f t="shared" si="7"/>
        <v>25</v>
      </c>
      <c r="F21" s="3">
        <f t="shared" si="7"/>
        <v>20</v>
      </c>
      <c r="G21" s="3">
        <f t="shared" si="7"/>
        <v>15</v>
      </c>
      <c r="H21" s="3">
        <f t="shared" si="7"/>
        <v>30</v>
      </c>
      <c r="I21" s="3">
        <f t="shared" si="7"/>
        <v>20</v>
      </c>
      <c r="J21" s="3">
        <f t="shared" si="7"/>
        <v>25</v>
      </c>
      <c r="K21" s="3">
        <f t="shared" si="7"/>
        <v>20</v>
      </c>
      <c r="L21" s="3">
        <f t="shared" si="7"/>
        <v>25</v>
      </c>
      <c r="M21" s="3">
        <f t="shared" si="7"/>
        <v>20</v>
      </c>
      <c r="N21" s="3">
        <f t="shared" si="7"/>
        <v>25</v>
      </c>
      <c r="O21" s="3">
        <f t="shared" si="7"/>
        <v>30</v>
      </c>
      <c r="P21" s="3">
        <f t="shared" si="7"/>
        <v>25</v>
      </c>
      <c r="Q21" s="5">
        <f>AVERAGE(B21:P21)</f>
        <v>21.666666666666668</v>
      </c>
      <c r="R21" s="2" t="s">
        <v>16</v>
      </c>
      <c r="T21" t="s">
        <v>66</v>
      </c>
    </row>
    <row r="22" spans="1:22" x14ac:dyDescent="0.2">
      <c r="A22" s="1" t="s">
        <v>10</v>
      </c>
      <c r="Q22" s="11" t="s">
        <v>39</v>
      </c>
      <c r="R22" s="12" t="s">
        <v>38</v>
      </c>
      <c r="T22" t="s">
        <v>89</v>
      </c>
    </row>
    <row r="23" spans="1:22" x14ac:dyDescent="0.2">
      <c r="A23" s="2" t="s">
        <v>18</v>
      </c>
      <c r="B23">
        <v>5</v>
      </c>
      <c r="C23">
        <v>7</v>
      </c>
      <c r="D23">
        <v>8</v>
      </c>
      <c r="E23">
        <v>5</v>
      </c>
      <c r="F23">
        <v>11</v>
      </c>
      <c r="G23">
        <v>9</v>
      </c>
      <c r="H23">
        <v>9</v>
      </c>
      <c r="I23">
        <v>5</v>
      </c>
      <c r="J23">
        <v>7</v>
      </c>
      <c r="K23">
        <v>7</v>
      </c>
      <c r="L23">
        <v>8</v>
      </c>
      <c r="M23">
        <v>15</v>
      </c>
      <c r="N23">
        <v>11</v>
      </c>
      <c r="O23">
        <v>7</v>
      </c>
      <c r="P23">
        <v>16</v>
      </c>
      <c r="Q23" s="9">
        <f>SUM(B23:P23)</f>
        <v>130</v>
      </c>
      <c r="R23">
        <f>Q23/Q$29*100</f>
        <v>86.666666666666671</v>
      </c>
      <c r="T23" s="19" t="s">
        <v>7</v>
      </c>
      <c r="U23">
        <f>Q21</f>
        <v>21.666666666666668</v>
      </c>
      <c r="V23">
        <f>SUM(Q17:Q20)</f>
        <v>325</v>
      </c>
    </row>
    <row r="24" spans="1:22" x14ac:dyDescent="0.2">
      <c r="A24" s="2" t="s">
        <v>19</v>
      </c>
      <c r="C24">
        <v>2</v>
      </c>
      <c r="E24">
        <v>1</v>
      </c>
      <c r="F24">
        <v>1</v>
      </c>
      <c r="G24">
        <v>1</v>
      </c>
      <c r="I24">
        <v>1</v>
      </c>
      <c r="J24">
        <v>2</v>
      </c>
      <c r="L24">
        <v>1</v>
      </c>
      <c r="M24">
        <v>1</v>
      </c>
      <c r="N24">
        <v>1</v>
      </c>
      <c r="P24">
        <v>1</v>
      </c>
      <c r="Q24" s="9">
        <f t="shared" ref="Q24:Q27" si="8">SUM(B24:P24)</f>
        <v>12</v>
      </c>
      <c r="R24">
        <f t="shared" ref="R24:R28" si="9">Q24/Q$29*100</f>
        <v>8</v>
      </c>
      <c r="T24" s="1" t="s">
        <v>10</v>
      </c>
    </row>
    <row r="25" spans="1:22" x14ac:dyDescent="0.2">
      <c r="A25" s="2" t="s">
        <v>20</v>
      </c>
      <c r="B25">
        <v>1</v>
      </c>
      <c r="E25">
        <v>1</v>
      </c>
      <c r="F25">
        <v>1</v>
      </c>
      <c r="H25">
        <v>1</v>
      </c>
      <c r="J25">
        <v>1</v>
      </c>
      <c r="L25">
        <v>1</v>
      </c>
      <c r="Q25" s="9">
        <f t="shared" si="8"/>
        <v>6</v>
      </c>
      <c r="R25">
        <f t="shared" si="9"/>
        <v>4</v>
      </c>
      <c r="T25" s="2" t="s">
        <v>18</v>
      </c>
      <c r="U25" cm="1">
        <f t="array" ref="U25:U31">Q23:Q29</f>
        <v>130</v>
      </c>
    </row>
    <row r="26" spans="1:22" x14ac:dyDescent="0.2">
      <c r="A26" s="2" t="s">
        <v>21</v>
      </c>
      <c r="K26">
        <v>1</v>
      </c>
      <c r="Q26" s="9">
        <f t="shared" si="8"/>
        <v>1</v>
      </c>
      <c r="R26">
        <f t="shared" si="9"/>
        <v>0.66666666666666674</v>
      </c>
      <c r="T26" s="2" t="s">
        <v>19</v>
      </c>
      <c r="U26">
        <v>12</v>
      </c>
    </row>
    <row r="27" spans="1:22" x14ac:dyDescent="0.2">
      <c r="A27" s="2" t="s">
        <v>22</v>
      </c>
      <c r="J27">
        <v>1</v>
      </c>
      <c r="Q27" s="9">
        <f t="shared" si="8"/>
        <v>1</v>
      </c>
      <c r="R27">
        <f t="shared" si="9"/>
        <v>0.66666666666666674</v>
      </c>
      <c r="T27" s="2" t="s">
        <v>20</v>
      </c>
      <c r="U27">
        <v>6</v>
      </c>
    </row>
    <row r="28" spans="1:22" x14ac:dyDescent="0.2">
      <c r="A28" s="2" t="s">
        <v>23</v>
      </c>
      <c r="Q28" s="9">
        <f>SUM(B28:P28)</f>
        <v>0</v>
      </c>
      <c r="R28">
        <f t="shared" si="9"/>
        <v>0</v>
      </c>
      <c r="T28" s="2" t="s">
        <v>21</v>
      </c>
      <c r="U28">
        <v>1</v>
      </c>
    </row>
    <row r="29" spans="1:22" s="2" customFormat="1" x14ac:dyDescent="0.2">
      <c r="A29" s="3" t="s">
        <v>7</v>
      </c>
      <c r="B29" s="3">
        <f>(B23)</f>
        <v>5</v>
      </c>
      <c r="C29" s="3">
        <f t="shared" ref="C29:P29" si="10">(C22)</f>
        <v>0</v>
      </c>
      <c r="D29" s="3">
        <f t="shared" si="10"/>
        <v>0</v>
      </c>
      <c r="E29" s="3">
        <f t="shared" si="10"/>
        <v>0</v>
      </c>
      <c r="F29" s="3">
        <f t="shared" si="10"/>
        <v>0</v>
      </c>
      <c r="G29" s="3">
        <f t="shared" si="10"/>
        <v>0</v>
      </c>
      <c r="H29" s="3">
        <f t="shared" si="10"/>
        <v>0</v>
      </c>
      <c r="I29" s="3">
        <f t="shared" si="10"/>
        <v>0</v>
      </c>
      <c r="J29" s="3">
        <f t="shared" si="10"/>
        <v>0</v>
      </c>
      <c r="K29" s="3">
        <f t="shared" si="10"/>
        <v>0</v>
      </c>
      <c r="L29" s="3">
        <f t="shared" si="10"/>
        <v>0</v>
      </c>
      <c r="M29" s="3">
        <f t="shared" si="10"/>
        <v>0</v>
      </c>
      <c r="N29" s="3">
        <f t="shared" si="10"/>
        <v>0</v>
      </c>
      <c r="O29" s="3">
        <f t="shared" si="10"/>
        <v>0</v>
      </c>
      <c r="P29" s="3">
        <f t="shared" si="10"/>
        <v>0</v>
      </c>
      <c r="Q29" s="6">
        <f>SUM(Q23:Q28)</f>
        <v>150</v>
      </c>
      <c r="R29" s="2" t="s">
        <v>17</v>
      </c>
      <c r="T29" s="2" t="s">
        <v>22</v>
      </c>
      <c r="U29" s="2">
        <v>1</v>
      </c>
    </row>
    <row r="30" spans="1:22" x14ac:dyDescent="0.2">
      <c r="Q30" s="9"/>
      <c r="T30" s="2" t="s">
        <v>23</v>
      </c>
      <c r="U30">
        <v>0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1">(C21+C16+C11+C7)</f>
        <v>100</v>
      </c>
      <c r="D31" s="4">
        <f t="shared" si="11"/>
        <v>100</v>
      </c>
      <c r="E31" s="4">
        <f t="shared" si="11"/>
        <v>100</v>
      </c>
      <c r="F31" s="4">
        <f t="shared" si="11"/>
        <v>100</v>
      </c>
      <c r="G31" s="4">
        <f t="shared" si="11"/>
        <v>100</v>
      </c>
      <c r="H31" s="4">
        <f t="shared" si="11"/>
        <v>100</v>
      </c>
      <c r="I31" s="4">
        <f t="shared" si="11"/>
        <v>100</v>
      </c>
      <c r="J31" s="4">
        <f t="shared" si="11"/>
        <v>100</v>
      </c>
      <c r="K31" s="4">
        <f t="shared" si="11"/>
        <v>100</v>
      </c>
      <c r="L31" s="4">
        <f t="shared" si="11"/>
        <v>100</v>
      </c>
      <c r="M31" s="4">
        <f t="shared" si="11"/>
        <v>100</v>
      </c>
      <c r="N31" s="4">
        <f t="shared" si="11"/>
        <v>100</v>
      </c>
      <c r="O31" s="4">
        <f t="shared" si="11"/>
        <v>100</v>
      </c>
      <c r="P31" s="4">
        <f t="shared" si="11"/>
        <v>100</v>
      </c>
      <c r="Q31" s="7">
        <f>SUM(Q21+Q16+Q11+Q7)</f>
        <v>100</v>
      </c>
      <c r="T31" s="3" t="s">
        <v>7</v>
      </c>
      <c r="U31" s="1">
        <v>150</v>
      </c>
    </row>
    <row r="35" spans="1:3" x14ac:dyDescent="0.2">
      <c r="A35" s="4" t="s">
        <v>35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B37">
        <v>12</v>
      </c>
      <c r="C37">
        <f>B37/B$41*100</f>
        <v>40</v>
      </c>
    </row>
    <row r="38" spans="1:3" x14ac:dyDescent="0.2">
      <c r="A38" t="s">
        <v>3</v>
      </c>
      <c r="B38">
        <v>12</v>
      </c>
      <c r="C38">
        <f t="shared" ref="C38:C41" si="12">B38/B$41*100</f>
        <v>40</v>
      </c>
    </row>
    <row r="39" spans="1:3" x14ac:dyDescent="0.2">
      <c r="A39" t="s">
        <v>4</v>
      </c>
      <c r="B39">
        <v>6</v>
      </c>
      <c r="C39">
        <f t="shared" si="12"/>
        <v>20</v>
      </c>
    </row>
    <row r="40" spans="1:3" x14ac:dyDescent="0.2">
      <c r="A40" t="s">
        <v>5</v>
      </c>
      <c r="C40">
        <f t="shared" si="12"/>
        <v>0</v>
      </c>
    </row>
    <row r="41" spans="1:3" x14ac:dyDescent="0.2">
      <c r="A41" s="1" t="s">
        <v>13</v>
      </c>
      <c r="B41">
        <f>(B40+B39+B38+B37)</f>
        <v>30</v>
      </c>
      <c r="C41">
        <f t="shared" si="12"/>
        <v>100</v>
      </c>
    </row>
    <row r="43" spans="1:3" x14ac:dyDescent="0.2">
      <c r="A43" s="1" t="s">
        <v>93</v>
      </c>
      <c r="B43" s="1">
        <f>SUM(B44:B51)</f>
        <v>30</v>
      </c>
    </row>
    <row r="44" spans="1:3" x14ac:dyDescent="0.2">
      <c r="A44" t="s">
        <v>92</v>
      </c>
      <c r="B44">
        <v>4</v>
      </c>
    </row>
    <row r="45" spans="1:3" x14ac:dyDescent="0.2">
      <c r="A45" t="s">
        <v>91</v>
      </c>
      <c r="B45">
        <v>3</v>
      </c>
    </row>
    <row r="46" spans="1:3" x14ac:dyDescent="0.2">
      <c r="A46" t="s">
        <v>94</v>
      </c>
      <c r="B46">
        <v>1</v>
      </c>
    </row>
    <row r="47" spans="1:3" x14ac:dyDescent="0.2">
      <c r="A47" t="s">
        <v>95</v>
      </c>
      <c r="B47">
        <v>1</v>
      </c>
    </row>
    <row r="48" spans="1:3" x14ac:dyDescent="0.2">
      <c r="A48" t="s">
        <v>112</v>
      </c>
      <c r="B48">
        <v>20</v>
      </c>
    </row>
    <row r="49" spans="1:2" x14ac:dyDescent="0.2">
      <c r="A49" t="s">
        <v>113</v>
      </c>
      <c r="B49">
        <v>1</v>
      </c>
    </row>
    <row r="52" spans="1:2" x14ac:dyDescent="0.2">
      <c r="A52" s="1" t="s">
        <v>53</v>
      </c>
    </row>
  </sheetData>
  <conditionalFormatting sqref="B41">
    <cfRule type="cellIs" dxfId="54" priority="2" operator="lessThan">
      <formula>30</formula>
    </cfRule>
    <cfRule type="cellIs" dxfId="53" priority="3" operator="equal">
      <formula>30</formula>
    </cfRule>
  </conditionalFormatting>
  <conditionalFormatting sqref="B43">
    <cfRule type="cellIs" dxfId="52" priority="1" operator="equal">
      <formula>30</formula>
    </cfRule>
  </conditionalFormatting>
  <conditionalFormatting sqref="B31:P31">
    <cfRule type="cellIs" dxfId="51" priority="4" operator="lessThan">
      <formula>100</formula>
    </cfRule>
    <cfRule type="cellIs" dxfId="50" priority="5" operator="equal">
      <formula>100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E2F0-CB39-4041-88B8-8EF71D52878D}">
  <sheetPr>
    <tabColor rgb="FF00B0F0"/>
  </sheetPr>
  <dimension ref="A1:V57"/>
  <sheetViews>
    <sheetView topLeftCell="A20" workbookViewId="0">
      <selection activeCell="A49" sqref="A49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" bestFit="1" customWidth="1"/>
  </cols>
  <sheetData>
    <row r="1" spans="1:22" x14ac:dyDescent="0.2">
      <c r="A1" s="4" t="s">
        <v>43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T1">
        <v>29</v>
      </c>
    </row>
    <row r="2" spans="1:22" x14ac:dyDescent="0.2">
      <c r="A2" s="1" t="s">
        <v>1</v>
      </c>
      <c r="B2">
        <v>30</v>
      </c>
      <c r="C2">
        <v>20</v>
      </c>
      <c r="D2">
        <v>30</v>
      </c>
      <c r="E2">
        <v>25</v>
      </c>
      <c r="F2">
        <v>30</v>
      </c>
      <c r="G2">
        <v>25</v>
      </c>
      <c r="H2">
        <v>30</v>
      </c>
      <c r="I2">
        <v>30</v>
      </c>
      <c r="J2">
        <v>50</v>
      </c>
      <c r="K2">
        <v>40</v>
      </c>
      <c r="L2">
        <v>30</v>
      </c>
      <c r="M2">
        <v>25</v>
      </c>
      <c r="N2">
        <v>20</v>
      </c>
      <c r="O2">
        <v>25</v>
      </c>
      <c r="P2">
        <v>30</v>
      </c>
      <c r="Q2" s="8"/>
      <c r="T2" s="1" t="s">
        <v>1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</row>
    <row r="7" spans="1:22" s="2" customFormat="1" x14ac:dyDescent="0.2">
      <c r="A7" s="3" t="s">
        <v>7</v>
      </c>
      <c r="B7" s="3">
        <f>(B2+B3)</f>
        <v>30</v>
      </c>
      <c r="C7" s="3">
        <f t="shared" ref="C7:P7" si="0">(C2+C3)</f>
        <v>20</v>
      </c>
      <c r="D7" s="3">
        <f t="shared" si="0"/>
        <v>30</v>
      </c>
      <c r="E7" s="3">
        <f t="shared" si="0"/>
        <v>25</v>
      </c>
      <c r="F7" s="3">
        <f t="shared" si="0"/>
        <v>30</v>
      </c>
      <c r="G7" s="3">
        <f t="shared" si="0"/>
        <v>25</v>
      </c>
      <c r="H7" s="3">
        <f t="shared" si="0"/>
        <v>30</v>
      </c>
      <c r="I7" s="3">
        <f t="shared" si="0"/>
        <v>30</v>
      </c>
      <c r="J7" s="3">
        <f t="shared" si="0"/>
        <v>50</v>
      </c>
      <c r="K7" s="3">
        <f t="shared" si="0"/>
        <v>40</v>
      </c>
      <c r="L7" s="3">
        <f t="shared" si="0"/>
        <v>30</v>
      </c>
      <c r="M7" s="3">
        <f t="shared" si="0"/>
        <v>25</v>
      </c>
      <c r="N7" s="3">
        <f t="shared" si="0"/>
        <v>20</v>
      </c>
      <c r="O7" s="3">
        <f t="shared" si="0"/>
        <v>25</v>
      </c>
      <c r="P7" s="3">
        <f t="shared" si="0"/>
        <v>30</v>
      </c>
      <c r="Q7" s="5">
        <f>AVERAGE(B7:P7)</f>
        <v>29.333333333333332</v>
      </c>
      <c r="R7" s="2" t="s">
        <v>16</v>
      </c>
      <c r="T7" s="19" t="s">
        <v>7</v>
      </c>
      <c r="U7" s="2">
        <f>Q7</f>
        <v>29.333333333333332</v>
      </c>
    </row>
    <row r="8" spans="1:22" x14ac:dyDescent="0.2">
      <c r="A8" s="1" t="s">
        <v>6</v>
      </c>
      <c r="B8">
        <v>5</v>
      </c>
      <c r="C8">
        <v>5</v>
      </c>
      <c r="D8">
        <v>10</v>
      </c>
      <c r="E8">
        <v>5</v>
      </c>
      <c r="G8">
        <v>10</v>
      </c>
      <c r="H8">
        <v>10</v>
      </c>
      <c r="K8">
        <v>10</v>
      </c>
      <c r="M8">
        <v>5</v>
      </c>
      <c r="N8">
        <v>15</v>
      </c>
      <c r="O8">
        <v>10</v>
      </c>
      <c r="Q8" s="9">
        <f>SUM(B8:P8)</f>
        <v>85</v>
      </c>
      <c r="T8" s="1" t="s">
        <v>6</v>
      </c>
      <c r="U8">
        <f>Q8/V$11*100</f>
        <v>33.333333333333329</v>
      </c>
    </row>
    <row r="9" spans="1:22" x14ac:dyDescent="0.2">
      <c r="A9" t="s">
        <v>34</v>
      </c>
      <c r="C9">
        <v>5</v>
      </c>
      <c r="E9">
        <v>5</v>
      </c>
      <c r="F9">
        <v>5</v>
      </c>
      <c r="G9">
        <v>5</v>
      </c>
      <c r="I9">
        <v>5</v>
      </c>
      <c r="N9">
        <v>5</v>
      </c>
      <c r="Q9" s="9">
        <f>SUM(B9:P9)</f>
        <v>30</v>
      </c>
      <c r="T9" t="s">
        <v>34</v>
      </c>
      <c r="U9">
        <f t="shared" ref="U9:U10" si="1">Q9/V$11*100</f>
        <v>11.76470588235294</v>
      </c>
    </row>
    <row r="10" spans="1:22" x14ac:dyDescent="0.2">
      <c r="A10" t="s">
        <v>47</v>
      </c>
      <c r="B10">
        <v>10</v>
      </c>
      <c r="C10">
        <v>5</v>
      </c>
      <c r="D10">
        <v>5</v>
      </c>
      <c r="E10">
        <v>10</v>
      </c>
      <c r="F10">
        <v>5</v>
      </c>
      <c r="G10">
        <v>5</v>
      </c>
      <c r="H10">
        <v>15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15</v>
      </c>
      <c r="P10">
        <v>10</v>
      </c>
      <c r="Q10" s="9">
        <f>SUM(B10:P10)</f>
        <v>140</v>
      </c>
      <c r="T10" t="s">
        <v>47</v>
      </c>
      <c r="U10">
        <f t="shared" si="1"/>
        <v>54.901960784313729</v>
      </c>
    </row>
    <row r="11" spans="1:22" s="2" customFormat="1" x14ac:dyDescent="0.2">
      <c r="A11" s="3" t="s">
        <v>7</v>
      </c>
      <c r="B11" s="3">
        <f>(B8+B9+B10)</f>
        <v>15</v>
      </c>
      <c r="C11" s="3">
        <f t="shared" ref="C11:P11" si="2">(C8+C9+C10)</f>
        <v>15</v>
      </c>
      <c r="D11" s="3">
        <f t="shared" si="2"/>
        <v>15</v>
      </c>
      <c r="E11" s="3">
        <f t="shared" si="2"/>
        <v>20</v>
      </c>
      <c r="F11" s="3">
        <f t="shared" si="2"/>
        <v>10</v>
      </c>
      <c r="G11" s="3">
        <f t="shared" si="2"/>
        <v>20</v>
      </c>
      <c r="H11" s="3">
        <f t="shared" si="2"/>
        <v>25</v>
      </c>
      <c r="I11" s="3">
        <f t="shared" si="2"/>
        <v>15</v>
      </c>
      <c r="J11" s="3">
        <f t="shared" si="2"/>
        <v>10</v>
      </c>
      <c r="K11" s="3">
        <f t="shared" si="2"/>
        <v>20</v>
      </c>
      <c r="L11" s="3">
        <f t="shared" si="2"/>
        <v>10</v>
      </c>
      <c r="M11" s="3">
        <f t="shared" si="2"/>
        <v>15</v>
      </c>
      <c r="N11" s="3">
        <f t="shared" si="2"/>
        <v>30</v>
      </c>
      <c r="O11" s="3">
        <f t="shared" si="2"/>
        <v>25</v>
      </c>
      <c r="P11" s="3">
        <f t="shared" si="2"/>
        <v>10</v>
      </c>
      <c r="Q11" s="5">
        <f>AVERAGE(B11:P11)</f>
        <v>17</v>
      </c>
      <c r="R11" s="2" t="s">
        <v>16</v>
      </c>
      <c r="T11" s="19" t="s">
        <v>7</v>
      </c>
      <c r="U11" s="2">
        <f>Q11</f>
        <v>17</v>
      </c>
      <c r="V11" s="2">
        <f>SUM(Q8:Q10)</f>
        <v>255</v>
      </c>
    </row>
    <row r="12" spans="1:22" x14ac:dyDescent="0.2">
      <c r="A12" s="1" t="s">
        <v>8</v>
      </c>
      <c r="B12">
        <v>40</v>
      </c>
      <c r="C12">
        <v>50</v>
      </c>
      <c r="D12">
        <v>40</v>
      </c>
      <c r="E12">
        <v>40</v>
      </c>
      <c r="F12">
        <v>45</v>
      </c>
      <c r="G12">
        <v>40</v>
      </c>
      <c r="H12">
        <v>35</v>
      </c>
      <c r="I12">
        <v>50</v>
      </c>
      <c r="J12">
        <v>30</v>
      </c>
      <c r="K12">
        <v>30</v>
      </c>
      <c r="L12">
        <v>50</v>
      </c>
      <c r="M12">
        <v>50</v>
      </c>
      <c r="N12">
        <v>40</v>
      </c>
      <c r="O12">
        <v>40</v>
      </c>
      <c r="P12">
        <v>50</v>
      </c>
      <c r="Q12" s="9"/>
      <c r="T12" s="1" t="s">
        <v>8</v>
      </c>
    </row>
    <row r="13" spans="1:22" x14ac:dyDescent="0.2">
      <c r="A13" s="1"/>
      <c r="Q13" s="9"/>
      <c r="T13" s="1"/>
    </row>
    <row r="14" spans="1:22" x14ac:dyDescent="0.2">
      <c r="A14" s="1"/>
      <c r="Q14" s="9"/>
      <c r="T14" s="1"/>
    </row>
    <row r="15" spans="1:22" x14ac:dyDescent="0.2">
      <c r="Q15" s="9"/>
    </row>
    <row r="16" spans="1:22" s="2" customFormat="1" x14ac:dyDescent="0.2">
      <c r="A16" s="3" t="s">
        <v>7</v>
      </c>
      <c r="B16" s="3">
        <f>(B12)</f>
        <v>40</v>
      </c>
      <c r="C16" s="3">
        <f t="shared" ref="C16:P16" si="3">(C12)</f>
        <v>50</v>
      </c>
      <c r="D16" s="3">
        <f t="shared" si="3"/>
        <v>40</v>
      </c>
      <c r="E16" s="3">
        <f t="shared" si="3"/>
        <v>40</v>
      </c>
      <c r="F16" s="3">
        <f t="shared" si="3"/>
        <v>45</v>
      </c>
      <c r="G16" s="3">
        <f t="shared" si="3"/>
        <v>40</v>
      </c>
      <c r="H16" s="3">
        <f t="shared" si="3"/>
        <v>35</v>
      </c>
      <c r="I16" s="3">
        <f t="shared" si="3"/>
        <v>50</v>
      </c>
      <c r="J16" s="3">
        <f>(J12)</f>
        <v>30</v>
      </c>
      <c r="K16" s="3">
        <f t="shared" si="3"/>
        <v>30</v>
      </c>
      <c r="L16" s="3">
        <f t="shared" si="3"/>
        <v>50</v>
      </c>
      <c r="M16" s="3">
        <f t="shared" si="3"/>
        <v>50</v>
      </c>
      <c r="N16" s="3">
        <f t="shared" si="3"/>
        <v>40</v>
      </c>
      <c r="O16" s="3">
        <f t="shared" si="3"/>
        <v>40</v>
      </c>
      <c r="P16" s="3">
        <f t="shared" si="3"/>
        <v>50</v>
      </c>
      <c r="Q16" s="5">
        <f>AVERAGE(B16:P16)</f>
        <v>42</v>
      </c>
      <c r="R16" s="2" t="s">
        <v>16</v>
      </c>
      <c r="T16" s="19" t="s">
        <v>7</v>
      </c>
      <c r="U16" s="2">
        <f>Q16</f>
        <v>42</v>
      </c>
    </row>
    <row r="17" spans="1:22" x14ac:dyDescent="0.2">
      <c r="A17" s="1" t="s">
        <v>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J17">
        <v>5</v>
      </c>
      <c r="K17">
        <v>5</v>
      </c>
      <c r="O17">
        <v>5</v>
      </c>
      <c r="P17">
        <v>5</v>
      </c>
      <c r="Q17" s="9">
        <f>SUM(B17:P17)</f>
        <v>50</v>
      </c>
      <c r="T17" s="1" t="s">
        <v>9</v>
      </c>
      <c r="U17">
        <f>Q17/V$23*100</f>
        <v>28.571428571428569</v>
      </c>
    </row>
    <row r="18" spans="1:22" x14ac:dyDescent="0.2">
      <c r="A18" s="2" t="s">
        <v>14</v>
      </c>
      <c r="B18">
        <v>10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5</v>
      </c>
      <c r="J18">
        <v>5</v>
      </c>
      <c r="K18">
        <v>5</v>
      </c>
      <c r="L18">
        <v>10</v>
      </c>
      <c r="M18">
        <v>10</v>
      </c>
      <c r="N18">
        <v>10</v>
      </c>
      <c r="O18">
        <v>5</v>
      </c>
      <c r="P18">
        <v>5</v>
      </c>
      <c r="Q18" s="9">
        <f>SUM(B18:P18)</f>
        <v>125</v>
      </c>
      <c r="T18" s="2" t="s">
        <v>14</v>
      </c>
      <c r="U18">
        <f>Q18/V$23*100</f>
        <v>71.428571428571431</v>
      </c>
    </row>
    <row r="19" spans="1:22" x14ac:dyDescent="0.2">
      <c r="A19" t="s">
        <v>26</v>
      </c>
      <c r="Q19" s="9">
        <f t="shared" ref="Q19:Q20" si="4">SUM(B19:P19)</f>
        <v>0</v>
      </c>
      <c r="R19" t="s">
        <v>42</v>
      </c>
      <c r="T19" t="s">
        <v>26</v>
      </c>
      <c r="U19">
        <f t="shared" ref="U19" si="5">Q19/V$11*100</f>
        <v>0</v>
      </c>
    </row>
    <row r="20" spans="1:22" x14ac:dyDescent="0.2">
      <c r="Q20" s="9">
        <f t="shared" si="4"/>
        <v>0</v>
      </c>
      <c r="T20" t="s">
        <v>65</v>
      </c>
      <c r="U20">
        <f>Q20/V$11*100</f>
        <v>0</v>
      </c>
    </row>
    <row r="21" spans="1:22" s="2" customFormat="1" x14ac:dyDescent="0.2">
      <c r="A21" s="3" t="s">
        <v>7</v>
      </c>
      <c r="B21" s="3">
        <f>(B17+B18)</f>
        <v>15</v>
      </c>
      <c r="C21" s="3">
        <f t="shared" ref="C21:P21" si="6">(C17+C18)</f>
        <v>15</v>
      </c>
      <c r="D21" s="3">
        <f t="shared" si="6"/>
        <v>15</v>
      </c>
      <c r="E21" s="3">
        <f t="shared" si="6"/>
        <v>15</v>
      </c>
      <c r="F21" s="3">
        <f t="shared" si="6"/>
        <v>15</v>
      </c>
      <c r="G21" s="3">
        <f t="shared" si="6"/>
        <v>15</v>
      </c>
      <c r="H21" s="3">
        <f t="shared" si="6"/>
        <v>10</v>
      </c>
      <c r="I21" s="3">
        <f t="shared" si="6"/>
        <v>5</v>
      </c>
      <c r="J21" s="3">
        <f t="shared" si="6"/>
        <v>10</v>
      </c>
      <c r="K21" s="3">
        <f t="shared" si="6"/>
        <v>10</v>
      </c>
      <c r="L21" s="3">
        <f t="shared" si="6"/>
        <v>10</v>
      </c>
      <c r="M21" s="3">
        <f t="shared" si="6"/>
        <v>10</v>
      </c>
      <c r="N21" s="3">
        <f t="shared" si="6"/>
        <v>10</v>
      </c>
      <c r="O21" s="3">
        <f t="shared" si="6"/>
        <v>10</v>
      </c>
      <c r="P21" s="3">
        <f t="shared" si="6"/>
        <v>10</v>
      </c>
      <c r="Q21" s="5">
        <f>AVERAGE(B21:P21)</f>
        <v>11.666666666666666</v>
      </c>
      <c r="R21" s="2" t="s">
        <v>16</v>
      </c>
      <c r="T21" t="s">
        <v>66</v>
      </c>
    </row>
    <row r="22" spans="1:22" x14ac:dyDescent="0.2">
      <c r="A22" s="1" t="s">
        <v>10</v>
      </c>
      <c r="Q22" s="11" t="s">
        <v>39</v>
      </c>
      <c r="R22" s="12" t="s">
        <v>38</v>
      </c>
      <c r="T22" t="s">
        <v>89</v>
      </c>
    </row>
    <row r="23" spans="1:22" x14ac:dyDescent="0.2">
      <c r="A23" s="2" t="s">
        <v>18</v>
      </c>
      <c r="B23">
        <v>12</v>
      </c>
      <c r="C23">
        <v>10</v>
      </c>
      <c r="D23">
        <v>11</v>
      </c>
      <c r="E23">
        <v>15</v>
      </c>
      <c r="F23">
        <v>6</v>
      </c>
      <c r="G23">
        <v>14</v>
      </c>
      <c r="H23">
        <v>12</v>
      </c>
      <c r="I23">
        <v>7</v>
      </c>
      <c r="J23">
        <v>9</v>
      </c>
      <c r="K23">
        <v>10</v>
      </c>
      <c r="L23">
        <v>13</v>
      </c>
      <c r="M23">
        <v>17</v>
      </c>
      <c r="N23">
        <v>10</v>
      </c>
      <c r="O23">
        <v>9</v>
      </c>
      <c r="P23">
        <v>9</v>
      </c>
      <c r="Q23" s="9">
        <f>SUM(B23:P23)</f>
        <v>164</v>
      </c>
      <c r="R23">
        <f>Q23/Q$29*100</f>
        <v>97.041420118343197</v>
      </c>
      <c r="T23" s="19" t="s">
        <v>7</v>
      </c>
      <c r="U23">
        <f>Q21</f>
        <v>11.666666666666666</v>
      </c>
      <c r="V23" s="2">
        <f>SUM(Q17:Q20)</f>
        <v>175</v>
      </c>
    </row>
    <row r="24" spans="1:22" x14ac:dyDescent="0.2">
      <c r="A24" s="2" t="s">
        <v>19</v>
      </c>
      <c r="D24">
        <v>1</v>
      </c>
      <c r="F24">
        <v>1</v>
      </c>
      <c r="J24">
        <v>1</v>
      </c>
      <c r="L24">
        <v>1</v>
      </c>
      <c r="Q24" s="9">
        <f t="shared" ref="Q24:Q27" si="7">SUM(B24:P24)</f>
        <v>4</v>
      </c>
      <c r="R24">
        <f t="shared" ref="R24:R28" si="8">Q24/Q$29*100</f>
        <v>2.3668639053254439</v>
      </c>
      <c r="T24" s="1" t="s">
        <v>10</v>
      </c>
    </row>
    <row r="25" spans="1:22" x14ac:dyDescent="0.2">
      <c r="A25" s="2" t="s">
        <v>20</v>
      </c>
      <c r="G25">
        <v>1</v>
      </c>
      <c r="Q25" s="9">
        <f t="shared" si="7"/>
        <v>1</v>
      </c>
      <c r="R25">
        <f t="shared" si="8"/>
        <v>0.59171597633136097</v>
      </c>
      <c r="T25" s="2" t="s">
        <v>18</v>
      </c>
      <c r="U25" cm="1">
        <f t="array" ref="U25:U31">Q23:Q29</f>
        <v>164</v>
      </c>
    </row>
    <row r="26" spans="1:22" x14ac:dyDescent="0.2">
      <c r="A26" s="2" t="s">
        <v>21</v>
      </c>
      <c r="Q26" s="9">
        <f t="shared" si="7"/>
        <v>0</v>
      </c>
      <c r="R26">
        <f t="shared" si="8"/>
        <v>0</v>
      </c>
      <c r="T26" s="2" t="s">
        <v>19</v>
      </c>
      <c r="U26">
        <v>4</v>
      </c>
    </row>
    <row r="27" spans="1:22" x14ac:dyDescent="0.2">
      <c r="A27" s="2" t="s">
        <v>22</v>
      </c>
      <c r="Q27" s="9">
        <f t="shared" si="7"/>
        <v>0</v>
      </c>
      <c r="R27">
        <f t="shared" si="8"/>
        <v>0</v>
      </c>
      <c r="T27" s="2" t="s">
        <v>20</v>
      </c>
      <c r="U27">
        <v>1</v>
      </c>
    </row>
    <row r="28" spans="1:22" x14ac:dyDescent="0.2">
      <c r="A28" s="2" t="s">
        <v>23</v>
      </c>
      <c r="Q28" s="9">
        <f>SUM(B28:P28)</f>
        <v>0</v>
      </c>
      <c r="R28">
        <f t="shared" si="8"/>
        <v>0</v>
      </c>
      <c r="T28" s="2" t="s">
        <v>21</v>
      </c>
      <c r="U28">
        <v>0</v>
      </c>
    </row>
    <row r="29" spans="1:22" s="2" customFormat="1" x14ac:dyDescent="0.2">
      <c r="A29" s="3" t="s">
        <v>7</v>
      </c>
      <c r="B29" s="3">
        <f t="shared" ref="B29:P29" si="9">(B22)</f>
        <v>0</v>
      </c>
      <c r="C29" s="3">
        <f t="shared" si="9"/>
        <v>0</v>
      </c>
      <c r="D29" s="3">
        <f t="shared" si="9"/>
        <v>0</v>
      </c>
      <c r="E29" s="3">
        <f t="shared" si="9"/>
        <v>0</v>
      </c>
      <c r="F29" s="3">
        <f t="shared" si="9"/>
        <v>0</v>
      </c>
      <c r="G29" s="3">
        <f t="shared" si="9"/>
        <v>0</v>
      </c>
      <c r="H29" s="3">
        <f t="shared" si="9"/>
        <v>0</v>
      </c>
      <c r="I29" s="3">
        <f t="shared" si="9"/>
        <v>0</v>
      </c>
      <c r="J29" s="3">
        <f t="shared" si="9"/>
        <v>0</v>
      </c>
      <c r="K29" s="3">
        <f t="shared" si="9"/>
        <v>0</v>
      </c>
      <c r="L29" s="3">
        <f t="shared" si="9"/>
        <v>0</v>
      </c>
      <c r="M29" s="3">
        <f t="shared" si="9"/>
        <v>0</v>
      </c>
      <c r="N29" s="3">
        <f t="shared" si="9"/>
        <v>0</v>
      </c>
      <c r="O29" s="3">
        <f t="shared" si="9"/>
        <v>0</v>
      </c>
      <c r="P29" s="3">
        <f t="shared" si="9"/>
        <v>0</v>
      </c>
      <c r="Q29" s="6">
        <f>SUM(Q23:Q28)</f>
        <v>169</v>
      </c>
      <c r="R29" s="2" t="s">
        <v>17</v>
      </c>
      <c r="T29" s="2" t="s">
        <v>22</v>
      </c>
      <c r="U29" s="2">
        <v>0</v>
      </c>
    </row>
    <row r="30" spans="1:22" x14ac:dyDescent="0.2">
      <c r="Q30" s="9"/>
      <c r="T30" s="2" t="s">
        <v>23</v>
      </c>
      <c r="U30">
        <v>0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0">(C21+C16+C11+C7)</f>
        <v>100</v>
      </c>
      <c r="D31" s="4">
        <f t="shared" si="10"/>
        <v>100</v>
      </c>
      <c r="E31" s="4">
        <f t="shared" si="10"/>
        <v>100</v>
      </c>
      <c r="F31" s="4">
        <f t="shared" si="10"/>
        <v>100</v>
      </c>
      <c r="G31" s="4">
        <f t="shared" si="10"/>
        <v>100</v>
      </c>
      <c r="H31" s="4">
        <f t="shared" si="10"/>
        <v>100</v>
      </c>
      <c r="I31" s="4">
        <f t="shared" si="10"/>
        <v>100</v>
      </c>
      <c r="J31" s="4">
        <f t="shared" si="10"/>
        <v>100</v>
      </c>
      <c r="K31" s="4">
        <f t="shared" si="10"/>
        <v>100</v>
      </c>
      <c r="L31" s="4">
        <f t="shared" si="10"/>
        <v>100</v>
      </c>
      <c r="M31" s="4">
        <f t="shared" si="10"/>
        <v>100</v>
      </c>
      <c r="N31" s="4">
        <f t="shared" si="10"/>
        <v>100</v>
      </c>
      <c r="O31" s="4">
        <f t="shared" si="10"/>
        <v>100</v>
      </c>
      <c r="P31" s="4">
        <f t="shared" si="10"/>
        <v>100</v>
      </c>
      <c r="Q31" s="7">
        <f>SUM(Q21+Q16+Q11+Q7)</f>
        <v>99.999999999999986</v>
      </c>
      <c r="T31" s="3" t="s">
        <v>7</v>
      </c>
      <c r="U31" s="1">
        <v>169</v>
      </c>
    </row>
    <row r="35" spans="1:6" x14ac:dyDescent="0.2">
      <c r="A35" s="4" t="s">
        <v>43</v>
      </c>
    </row>
    <row r="36" spans="1:6" x14ac:dyDescent="0.2">
      <c r="A36" s="1" t="s">
        <v>12</v>
      </c>
      <c r="B36" t="s">
        <v>24</v>
      </c>
      <c r="C36" t="s">
        <v>0</v>
      </c>
    </row>
    <row r="37" spans="1:6" x14ac:dyDescent="0.2">
      <c r="A37" t="s">
        <v>2</v>
      </c>
      <c r="B37">
        <v>3</v>
      </c>
      <c r="C37">
        <f>B37/B$41*100</f>
        <v>10</v>
      </c>
    </row>
    <row r="38" spans="1:6" x14ac:dyDescent="0.2">
      <c r="A38" t="s">
        <v>3</v>
      </c>
      <c r="B38">
        <v>17</v>
      </c>
      <c r="C38">
        <f t="shared" ref="C38:C41" si="11">B38/B$41*100</f>
        <v>56.666666666666664</v>
      </c>
    </row>
    <row r="39" spans="1:6" x14ac:dyDescent="0.2">
      <c r="A39" t="s">
        <v>4</v>
      </c>
      <c r="B39">
        <v>8</v>
      </c>
      <c r="C39">
        <f t="shared" si="11"/>
        <v>26.666666666666668</v>
      </c>
    </row>
    <row r="40" spans="1:6" x14ac:dyDescent="0.2">
      <c r="A40" t="s">
        <v>5</v>
      </c>
      <c r="B40">
        <v>2</v>
      </c>
      <c r="C40">
        <f t="shared" si="11"/>
        <v>6.666666666666667</v>
      </c>
    </row>
    <row r="41" spans="1:6" x14ac:dyDescent="0.2">
      <c r="A41" s="1" t="s">
        <v>13</v>
      </c>
      <c r="B41">
        <f>(B40+B39+B38+B37)</f>
        <v>30</v>
      </c>
      <c r="C41">
        <f t="shared" si="11"/>
        <v>100</v>
      </c>
    </row>
    <row r="43" spans="1:6" x14ac:dyDescent="0.2">
      <c r="A43" t="s">
        <v>88</v>
      </c>
      <c r="B43">
        <f>SUM(B44:B55)</f>
        <v>30</v>
      </c>
    </row>
    <row r="44" spans="1:6" x14ac:dyDescent="0.2">
      <c r="A44" s="13" t="s">
        <v>112</v>
      </c>
      <c r="B44">
        <v>1</v>
      </c>
      <c r="F44">
        <f>53*2.5</f>
        <v>132.5</v>
      </c>
    </row>
    <row r="45" spans="1:6" x14ac:dyDescent="0.2">
      <c r="A45" t="s">
        <v>95</v>
      </c>
      <c r="B45">
        <v>11</v>
      </c>
    </row>
    <row r="46" spans="1:6" x14ac:dyDescent="0.2">
      <c r="A46" s="13" t="s">
        <v>94</v>
      </c>
      <c r="B46">
        <v>3</v>
      </c>
    </row>
    <row r="47" spans="1:6" x14ac:dyDescent="0.2">
      <c r="A47" t="s">
        <v>114</v>
      </c>
      <c r="B47">
        <v>6</v>
      </c>
    </row>
    <row r="48" spans="1:6" x14ac:dyDescent="0.2">
      <c r="A48" t="s">
        <v>115</v>
      </c>
      <c r="B48">
        <v>3</v>
      </c>
    </row>
    <row r="49" spans="1:2" x14ac:dyDescent="0.2">
      <c r="A49" t="s">
        <v>116</v>
      </c>
      <c r="B49">
        <v>1</v>
      </c>
    </row>
    <row r="50" spans="1:2" x14ac:dyDescent="0.2">
      <c r="A50" t="s">
        <v>117</v>
      </c>
      <c r="B50">
        <v>2</v>
      </c>
    </row>
    <row r="51" spans="1:2" x14ac:dyDescent="0.2">
      <c r="A51" t="s">
        <v>118</v>
      </c>
      <c r="B51">
        <v>1</v>
      </c>
    </row>
    <row r="52" spans="1:2" x14ac:dyDescent="0.2">
      <c r="A52" t="s">
        <v>106</v>
      </c>
      <c r="B52">
        <v>1</v>
      </c>
    </row>
    <row r="53" spans="1:2" x14ac:dyDescent="0.2">
      <c r="A53" t="s">
        <v>119</v>
      </c>
      <c r="B53">
        <v>1</v>
      </c>
    </row>
    <row r="57" spans="1:2" x14ac:dyDescent="0.2">
      <c r="A57" s="1" t="s">
        <v>53</v>
      </c>
    </row>
  </sheetData>
  <conditionalFormatting sqref="B41">
    <cfRule type="cellIs" dxfId="49" priority="2" operator="lessThan">
      <formula>30</formula>
    </cfRule>
    <cfRule type="cellIs" dxfId="48" priority="3" operator="equal">
      <formula>30</formula>
    </cfRule>
  </conditionalFormatting>
  <conditionalFormatting sqref="B43">
    <cfRule type="cellIs" dxfId="47" priority="1" operator="equal">
      <formula>30</formula>
    </cfRule>
  </conditionalFormatting>
  <conditionalFormatting sqref="B31:P31">
    <cfRule type="cellIs" dxfId="46" priority="4" operator="lessThan">
      <formula>100</formula>
    </cfRule>
    <cfRule type="cellIs" dxfId="45" priority="5" operator="equal">
      <formula>100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8D05-1A25-124F-9188-5F664AB37F76}">
  <sheetPr>
    <tabColor rgb="FF00B0F0"/>
  </sheetPr>
  <dimension ref="A1:V50"/>
  <sheetViews>
    <sheetView topLeftCell="A21" workbookViewId="0">
      <pane xSplit="1" topLeftCell="B1" activePane="topRight" state="frozen"/>
      <selection pane="topRight" activeCell="D49" sqref="D49"/>
    </sheetView>
  </sheetViews>
  <sheetFormatPr baseColWidth="10" defaultColWidth="11" defaultRowHeight="16" x14ac:dyDescent="0.2"/>
  <cols>
    <col min="1" max="1" width="22" bestFit="1" customWidth="1"/>
    <col min="17" max="17" width="10.83203125" style="1"/>
    <col min="20" max="20" width="21" bestFit="1" customWidth="1"/>
  </cols>
  <sheetData>
    <row r="1" spans="1:22" x14ac:dyDescent="0.2">
      <c r="A1" s="4" t="s">
        <v>82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T1">
        <v>39</v>
      </c>
    </row>
    <row r="2" spans="1:22" x14ac:dyDescent="0.2">
      <c r="A2" s="1" t="s">
        <v>1</v>
      </c>
      <c r="B2">
        <v>20</v>
      </c>
      <c r="C2">
        <v>15</v>
      </c>
      <c r="D2">
        <v>30</v>
      </c>
      <c r="E2">
        <v>40</v>
      </c>
      <c r="F2">
        <v>20</v>
      </c>
      <c r="G2">
        <v>30</v>
      </c>
      <c r="H2">
        <v>30</v>
      </c>
      <c r="I2">
        <v>20</v>
      </c>
      <c r="J2">
        <v>30</v>
      </c>
      <c r="K2">
        <v>25</v>
      </c>
      <c r="L2">
        <v>30</v>
      </c>
      <c r="M2">
        <v>20</v>
      </c>
      <c r="N2">
        <v>20</v>
      </c>
      <c r="O2">
        <v>30</v>
      </c>
      <c r="P2">
        <v>20</v>
      </c>
      <c r="Q2" s="8"/>
      <c r="T2" s="1" t="s">
        <v>1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</row>
    <row r="7" spans="1:22" s="2" customFormat="1" x14ac:dyDescent="0.2">
      <c r="A7" s="3" t="s">
        <v>7</v>
      </c>
      <c r="B7" s="3">
        <f>(B2+B3)</f>
        <v>20</v>
      </c>
      <c r="C7" s="3">
        <f t="shared" ref="C7:P7" si="0">(C2+C3)</f>
        <v>15</v>
      </c>
      <c r="D7" s="3">
        <f t="shared" si="0"/>
        <v>30</v>
      </c>
      <c r="E7" s="3">
        <f t="shared" si="0"/>
        <v>40</v>
      </c>
      <c r="F7" s="3">
        <f t="shared" si="0"/>
        <v>20</v>
      </c>
      <c r="G7" s="3">
        <f t="shared" si="0"/>
        <v>30</v>
      </c>
      <c r="H7" s="3">
        <f t="shared" si="0"/>
        <v>30</v>
      </c>
      <c r="I7" s="3">
        <f t="shared" si="0"/>
        <v>20</v>
      </c>
      <c r="J7" s="3">
        <f t="shared" si="0"/>
        <v>30</v>
      </c>
      <c r="K7" s="3">
        <f t="shared" si="0"/>
        <v>25</v>
      </c>
      <c r="L7" s="3">
        <f t="shared" si="0"/>
        <v>30</v>
      </c>
      <c r="M7" s="3">
        <f t="shared" si="0"/>
        <v>20</v>
      </c>
      <c r="N7" s="3">
        <f t="shared" si="0"/>
        <v>20</v>
      </c>
      <c r="O7" s="3">
        <f t="shared" si="0"/>
        <v>30</v>
      </c>
      <c r="P7" s="3">
        <f t="shared" si="0"/>
        <v>20</v>
      </c>
      <c r="Q7" s="5">
        <f>AVERAGE(B7:P7)</f>
        <v>25.333333333333332</v>
      </c>
      <c r="R7" s="2" t="s">
        <v>16</v>
      </c>
      <c r="T7" s="19" t="s">
        <v>7</v>
      </c>
      <c r="U7" s="2">
        <f>Q7</f>
        <v>25.333333333333332</v>
      </c>
    </row>
    <row r="8" spans="1:22" x14ac:dyDescent="0.2">
      <c r="A8" s="1" t="s">
        <v>6</v>
      </c>
      <c r="B8">
        <v>5</v>
      </c>
      <c r="C8">
        <v>40</v>
      </c>
      <c r="F8">
        <v>40</v>
      </c>
      <c r="I8">
        <v>30</v>
      </c>
      <c r="K8">
        <v>10</v>
      </c>
      <c r="L8">
        <v>5</v>
      </c>
      <c r="M8">
        <v>10</v>
      </c>
      <c r="N8">
        <v>10</v>
      </c>
      <c r="Q8" s="9">
        <f>SUM(B8:P8)</f>
        <v>150</v>
      </c>
      <c r="T8" s="1" t="s">
        <v>6</v>
      </c>
      <c r="U8">
        <f>Q8/V$11*100</f>
        <v>44.776119402985074</v>
      </c>
    </row>
    <row r="9" spans="1:22" x14ac:dyDescent="0.2">
      <c r="A9" t="s">
        <v>34</v>
      </c>
      <c r="B9">
        <v>5</v>
      </c>
      <c r="D9">
        <v>5</v>
      </c>
      <c r="E9">
        <v>5</v>
      </c>
      <c r="G9">
        <v>5</v>
      </c>
      <c r="H9">
        <v>5</v>
      </c>
      <c r="I9">
        <v>5</v>
      </c>
      <c r="K9">
        <v>5</v>
      </c>
      <c r="N9">
        <v>5</v>
      </c>
      <c r="P9">
        <v>10</v>
      </c>
      <c r="Q9" s="9">
        <f t="shared" ref="Q9:Q10" si="1">SUM(B9:P9)</f>
        <v>50</v>
      </c>
      <c r="T9" t="s">
        <v>34</v>
      </c>
      <c r="U9">
        <f t="shared" ref="U9" si="2">Q9/V$11*100</f>
        <v>14.925373134328357</v>
      </c>
    </row>
    <row r="10" spans="1:22" x14ac:dyDescent="0.2">
      <c r="A10" t="s">
        <v>47</v>
      </c>
      <c r="B10">
        <v>10</v>
      </c>
      <c r="C10">
        <v>10</v>
      </c>
      <c r="D10">
        <v>10</v>
      </c>
      <c r="E10">
        <v>10</v>
      </c>
      <c r="G10">
        <v>5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15</v>
      </c>
      <c r="N10">
        <v>10</v>
      </c>
      <c r="O10">
        <v>10</v>
      </c>
      <c r="P10">
        <v>5</v>
      </c>
      <c r="Q10" s="9">
        <f t="shared" si="1"/>
        <v>135</v>
      </c>
      <c r="T10" t="s">
        <v>47</v>
      </c>
      <c r="U10">
        <f>Q10/V$11*100</f>
        <v>40.298507462686565</v>
      </c>
    </row>
    <row r="11" spans="1:22" s="2" customFormat="1" x14ac:dyDescent="0.2">
      <c r="A11" s="3" t="s">
        <v>7</v>
      </c>
      <c r="B11" s="3">
        <f>(B8+B9+B10)</f>
        <v>20</v>
      </c>
      <c r="C11" s="3">
        <f t="shared" ref="C11:P11" si="3">(C8+C9+C10)</f>
        <v>50</v>
      </c>
      <c r="D11" s="3">
        <f t="shared" si="3"/>
        <v>15</v>
      </c>
      <c r="E11" s="3">
        <f t="shared" si="3"/>
        <v>15</v>
      </c>
      <c r="F11" s="3">
        <f t="shared" si="3"/>
        <v>40</v>
      </c>
      <c r="G11" s="3">
        <f t="shared" si="3"/>
        <v>10</v>
      </c>
      <c r="H11" s="3">
        <f t="shared" si="3"/>
        <v>15</v>
      </c>
      <c r="I11" s="3">
        <f t="shared" si="3"/>
        <v>45</v>
      </c>
      <c r="J11" s="3">
        <f t="shared" si="3"/>
        <v>10</v>
      </c>
      <c r="K11" s="3">
        <f t="shared" si="3"/>
        <v>25</v>
      </c>
      <c r="L11" s="3">
        <f t="shared" si="3"/>
        <v>15</v>
      </c>
      <c r="M11" s="3">
        <f t="shared" si="3"/>
        <v>25</v>
      </c>
      <c r="N11" s="3">
        <f t="shared" si="3"/>
        <v>25</v>
      </c>
      <c r="O11" s="3">
        <f t="shared" si="3"/>
        <v>10</v>
      </c>
      <c r="P11" s="3">
        <f t="shared" si="3"/>
        <v>15</v>
      </c>
      <c r="Q11" s="5">
        <f>AVERAGE(B11:P11)</f>
        <v>22.333333333333332</v>
      </c>
      <c r="R11" s="2" t="s">
        <v>16</v>
      </c>
      <c r="T11" s="19" t="s">
        <v>7</v>
      </c>
      <c r="U11" s="2">
        <f>Q11</f>
        <v>22.333333333333332</v>
      </c>
      <c r="V11" s="2">
        <f>SUM(Q8:Q10)</f>
        <v>335</v>
      </c>
    </row>
    <row r="12" spans="1:22" x14ac:dyDescent="0.2">
      <c r="A12" s="1" t="s">
        <v>8</v>
      </c>
      <c r="B12">
        <v>40</v>
      </c>
      <c r="C12">
        <v>20</v>
      </c>
      <c r="D12">
        <v>40</v>
      </c>
      <c r="E12">
        <v>20</v>
      </c>
      <c r="F12">
        <v>20</v>
      </c>
      <c r="G12">
        <v>40</v>
      </c>
      <c r="H12">
        <v>35</v>
      </c>
      <c r="I12">
        <v>25</v>
      </c>
      <c r="J12">
        <v>40</v>
      </c>
      <c r="K12">
        <v>35</v>
      </c>
      <c r="L12">
        <v>40</v>
      </c>
      <c r="M12">
        <v>35</v>
      </c>
      <c r="N12">
        <v>30</v>
      </c>
      <c r="O12">
        <v>40</v>
      </c>
      <c r="P12">
        <v>40</v>
      </c>
      <c r="Q12" s="9"/>
      <c r="T12" s="1" t="s">
        <v>8</v>
      </c>
    </row>
    <row r="13" spans="1:22" x14ac:dyDescent="0.2">
      <c r="A13" s="1"/>
      <c r="Q13" s="9"/>
      <c r="T13" s="1"/>
    </row>
    <row r="14" spans="1:22" x14ac:dyDescent="0.2">
      <c r="A14" s="1"/>
      <c r="Q14" s="9"/>
      <c r="T14" s="1"/>
    </row>
    <row r="15" spans="1:22" x14ac:dyDescent="0.2">
      <c r="Q15" s="9"/>
    </row>
    <row r="16" spans="1:22" s="2" customFormat="1" x14ac:dyDescent="0.2">
      <c r="A16" s="3" t="s">
        <v>7</v>
      </c>
      <c r="B16" s="3">
        <f>(B12)</f>
        <v>40</v>
      </c>
      <c r="C16" s="3">
        <f t="shared" ref="C16:P16" si="4">(C12)</f>
        <v>20</v>
      </c>
      <c r="D16" s="3">
        <f t="shared" si="4"/>
        <v>40</v>
      </c>
      <c r="E16" s="3">
        <f t="shared" si="4"/>
        <v>20</v>
      </c>
      <c r="F16" s="3">
        <f t="shared" si="4"/>
        <v>20</v>
      </c>
      <c r="G16" s="3">
        <f t="shared" si="4"/>
        <v>40</v>
      </c>
      <c r="H16" s="3">
        <f t="shared" si="4"/>
        <v>35</v>
      </c>
      <c r="I16" s="3">
        <f t="shared" si="4"/>
        <v>25</v>
      </c>
      <c r="J16" s="3">
        <f>(J12)</f>
        <v>40</v>
      </c>
      <c r="K16" s="3">
        <f t="shared" si="4"/>
        <v>35</v>
      </c>
      <c r="L16" s="3">
        <f t="shared" si="4"/>
        <v>40</v>
      </c>
      <c r="M16" s="3">
        <f t="shared" si="4"/>
        <v>35</v>
      </c>
      <c r="N16" s="3">
        <f t="shared" si="4"/>
        <v>30</v>
      </c>
      <c r="O16" s="3">
        <f t="shared" si="4"/>
        <v>40</v>
      </c>
      <c r="P16" s="3">
        <f t="shared" si="4"/>
        <v>40</v>
      </c>
      <c r="Q16" s="5">
        <f>AVERAGE(B16:P16)</f>
        <v>33.333333333333336</v>
      </c>
      <c r="R16" s="2" t="s">
        <v>16</v>
      </c>
      <c r="T16" s="19" t="s">
        <v>7</v>
      </c>
      <c r="U16" s="2">
        <f>Q16</f>
        <v>33.333333333333336</v>
      </c>
    </row>
    <row r="17" spans="1:22" x14ac:dyDescent="0.2">
      <c r="A17" s="1" t="s">
        <v>9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O17">
        <v>5</v>
      </c>
      <c r="P17">
        <v>5</v>
      </c>
      <c r="Q17" s="9">
        <f>SUM(B17:P17)</f>
        <v>40</v>
      </c>
      <c r="T17" s="1" t="s">
        <v>9</v>
      </c>
      <c r="U17">
        <f>Q17/V$23*100</f>
        <v>14.035087719298245</v>
      </c>
    </row>
    <row r="18" spans="1:22" x14ac:dyDescent="0.2">
      <c r="A18" s="2" t="s">
        <v>14</v>
      </c>
      <c r="B18">
        <v>20</v>
      </c>
      <c r="C18">
        <v>10</v>
      </c>
      <c r="D18">
        <v>10</v>
      </c>
      <c r="E18">
        <v>20</v>
      </c>
      <c r="F18">
        <v>15</v>
      </c>
      <c r="G18">
        <v>15</v>
      </c>
      <c r="H18">
        <v>15</v>
      </c>
      <c r="I18">
        <v>10</v>
      </c>
      <c r="J18">
        <v>20</v>
      </c>
      <c r="K18">
        <v>15</v>
      </c>
      <c r="L18">
        <v>15</v>
      </c>
      <c r="M18">
        <v>20</v>
      </c>
      <c r="N18">
        <v>25</v>
      </c>
      <c r="O18">
        <v>15</v>
      </c>
      <c r="P18">
        <v>20</v>
      </c>
      <c r="Q18" s="9">
        <f t="shared" ref="Q18:Q20" si="5">SUM(B18:P18)</f>
        <v>245</v>
      </c>
      <c r="T18" s="2" t="s">
        <v>14</v>
      </c>
      <c r="U18">
        <f>Q18/V$23*100</f>
        <v>85.964912280701753</v>
      </c>
    </row>
    <row r="19" spans="1:22" x14ac:dyDescent="0.2">
      <c r="A19" t="s">
        <v>26</v>
      </c>
      <c r="Q19" s="9">
        <f t="shared" si="5"/>
        <v>0</v>
      </c>
      <c r="R19" t="s">
        <v>42</v>
      </c>
      <c r="T19" t="s">
        <v>26</v>
      </c>
      <c r="U19">
        <f t="shared" ref="U19:U20" si="6">Q19/V$23*100</f>
        <v>0</v>
      </c>
    </row>
    <row r="20" spans="1:22" x14ac:dyDescent="0.2">
      <c r="Q20" s="9">
        <f t="shared" si="5"/>
        <v>0</v>
      </c>
      <c r="T20" t="s">
        <v>65</v>
      </c>
      <c r="U20">
        <f t="shared" si="6"/>
        <v>0</v>
      </c>
    </row>
    <row r="21" spans="1:22" s="2" customFormat="1" x14ac:dyDescent="0.2">
      <c r="A21" s="3" t="s">
        <v>7</v>
      </c>
      <c r="B21" s="3">
        <f>(B17+B18)</f>
        <v>20</v>
      </c>
      <c r="C21" s="3">
        <f t="shared" ref="C21:P21" si="7">(C17+C18)</f>
        <v>15</v>
      </c>
      <c r="D21" s="3">
        <f t="shared" si="7"/>
        <v>15</v>
      </c>
      <c r="E21" s="3">
        <f t="shared" si="7"/>
        <v>25</v>
      </c>
      <c r="F21" s="3">
        <f t="shared" si="7"/>
        <v>20</v>
      </c>
      <c r="G21" s="3">
        <f t="shared" si="7"/>
        <v>20</v>
      </c>
      <c r="H21" s="3">
        <f t="shared" si="7"/>
        <v>20</v>
      </c>
      <c r="I21" s="3">
        <f t="shared" si="7"/>
        <v>10</v>
      </c>
      <c r="J21" s="3">
        <f t="shared" si="7"/>
        <v>20</v>
      </c>
      <c r="K21" s="3">
        <f t="shared" si="7"/>
        <v>15</v>
      </c>
      <c r="L21" s="3">
        <f t="shared" si="7"/>
        <v>15</v>
      </c>
      <c r="M21" s="3">
        <f t="shared" si="7"/>
        <v>20</v>
      </c>
      <c r="N21" s="3">
        <f t="shared" si="7"/>
        <v>25</v>
      </c>
      <c r="O21" s="3">
        <f t="shared" si="7"/>
        <v>20</v>
      </c>
      <c r="P21" s="3">
        <f t="shared" si="7"/>
        <v>25</v>
      </c>
      <c r="Q21" s="5">
        <f>AVERAGE(B21:P21)</f>
        <v>19</v>
      </c>
      <c r="R21" s="2" t="s">
        <v>16</v>
      </c>
      <c r="T21" t="s">
        <v>66</v>
      </c>
    </row>
    <row r="22" spans="1:22" x14ac:dyDescent="0.2">
      <c r="A22" s="1" t="s">
        <v>10</v>
      </c>
      <c r="Q22" s="11" t="s">
        <v>39</v>
      </c>
      <c r="R22" s="12" t="s">
        <v>38</v>
      </c>
      <c r="T22" t="s">
        <v>89</v>
      </c>
    </row>
    <row r="23" spans="1:22" x14ac:dyDescent="0.2">
      <c r="A23" s="2" t="s">
        <v>18</v>
      </c>
      <c r="B23">
        <v>11</v>
      </c>
      <c r="C23">
        <v>17</v>
      </c>
      <c r="D23">
        <v>14</v>
      </c>
      <c r="E23">
        <v>11</v>
      </c>
      <c r="F23">
        <v>10</v>
      </c>
      <c r="G23">
        <v>11</v>
      </c>
      <c r="H23">
        <v>13</v>
      </c>
      <c r="I23">
        <v>12</v>
      </c>
      <c r="J23">
        <v>6</v>
      </c>
      <c r="K23">
        <v>4</v>
      </c>
      <c r="L23">
        <v>15</v>
      </c>
      <c r="M23">
        <v>13</v>
      </c>
      <c r="N23">
        <v>13</v>
      </c>
      <c r="O23">
        <v>14</v>
      </c>
      <c r="P23">
        <v>9</v>
      </c>
      <c r="Q23" s="9">
        <f>SUM(B23:P23)</f>
        <v>173</v>
      </c>
      <c r="R23">
        <f>Q23/Q$29*100</f>
        <v>93.010752688172033</v>
      </c>
      <c r="T23" s="19" t="s">
        <v>7</v>
      </c>
      <c r="U23">
        <f>Q21</f>
        <v>19</v>
      </c>
      <c r="V23">
        <f>SUM(Q17:Q20)</f>
        <v>285</v>
      </c>
    </row>
    <row r="24" spans="1:22" x14ac:dyDescent="0.2">
      <c r="A24" s="2" t="s">
        <v>19</v>
      </c>
      <c r="B24">
        <v>1</v>
      </c>
      <c r="C24">
        <v>1</v>
      </c>
      <c r="E24">
        <v>1</v>
      </c>
      <c r="F24">
        <v>1</v>
      </c>
      <c r="I24">
        <v>1</v>
      </c>
      <c r="M24">
        <v>1</v>
      </c>
      <c r="N24">
        <v>1</v>
      </c>
      <c r="P24">
        <v>1</v>
      </c>
      <c r="Q24" s="9">
        <f t="shared" ref="Q24:Q27" si="8">SUM(B24:P24)</f>
        <v>8</v>
      </c>
      <c r="R24">
        <f t="shared" ref="R24:R28" si="9">Q24/Q$29*100</f>
        <v>4.3010752688172049</v>
      </c>
      <c r="T24" s="1" t="s">
        <v>10</v>
      </c>
    </row>
    <row r="25" spans="1:22" x14ac:dyDescent="0.2">
      <c r="A25" s="2" t="s">
        <v>20</v>
      </c>
      <c r="B25">
        <v>1</v>
      </c>
      <c r="E25">
        <v>1</v>
      </c>
      <c r="Q25" s="9">
        <f t="shared" si="8"/>
        <v>2</v>
      </c>
      <c r="R25">
        <f t="shared" si="9"/>
        <v>1.0752688172043012</v>
      </c>
      <c r="T25" s="2" t="s">
        <v>18</v>
      </c>
      <c r="U25" cm="1">
        <f t="array" ref="U25:U31">Q23:Q29</f>
        <v>173</v>
      </c>
    </row>
    <row r="26" spans="1:22" x14ac:dyDescent="0.2">
      <c r="A26" s="2" t="s">
        <v>21</v>
      </c>
      <c r="N26">
        <v>1</v>
      </c>
      <c r="O26">
        <v>1</v>
      </c>
      <c r="Q26" s="9">
        <f t="shared" si="8"/>
        <v>2</v>
      </c>
      <c r="R26">
        <f t="shared" si="9"/>
        <v>1.0752688172043012</v>
      </c>
      <c r="T26" s="2" t="s">
        <v>19</v>
      </c>
      <c r="U26">
        <v>8</v>
      </c>
    </row>
    <row r="27" spans="1:22" x14ac:dyDescent="0.2">
      <c r="A27" s="2" t="s">
        <v>22</v>
      </c>
      <c r="M27">
        <v>1</v>
      </c>
      <c r="Q27" s="9">
        <f t="shared" si="8"/>
        <v>1</v>
      </c>
      <c r="R27">
        <f t="shared" si="9"/>
        <v>0.53763440860215062</v>
      </c>
      <c r="T27" s="2" t="s">
        <v>20</v>
      </c>
      <c r="U27">
        <v>2</v>
      </c>
    </row>
    <row r="28" spans="1:22" x14ac:dyDescent="0.2">
      <c r="A28" s="2" t="s">
        <v>23</v>
      </c>
      <c r="Q28" s="9">
        <f>SUM(B28:P28)</f>
        <v>0</v>
      </c>
      <c r="R28">
        <f t="shared" si="9"/>
        <v>0</v>
      </c>
      <c r="T28" s="2" t="s">
        <v>21</v>
      </c>
      <c r="U28">
        <v>2</v>
      </c>
    </row>
    <row r="29" spans="1:22" s="2" customFormat="1" x14ac:dyDescent="0.2">
      <c r="A29" s="3" t="s">
        <v>7</v>
      </c>
      <c r="B29" s="3">
        <f t="shared" ref="B29:P29" si="10">(B22)</f>
        <v>0</v>
      </c>
      <c r="C29" s="3">
        <f t="shared" si="10"/>
        <v>0</v>
      </c>
      <c r="D29" s="3">
        <f t="shared" si="10"/>
        <v>0</v>
      </c>
      <c r="E29" s="3">
        <f t="shared" si="10"/>
        <v>0</v>
      </c>
      <c r="F29" s="3">
        <f t="shared" si="10"/>
        <v>0</v>
      </c>
      <c r="G29" s="3">
        <f t="shared" si="10"/>
        <v>0</v>
      </c>
      <c r="H29" s="3">
        <f t="shared" si="10"/>
        <v>0</v>
      </c>
      <c r="I29" s="3">
        <f t="shared" si="10"/>
        <v>0</v>
      </c>
      <c r="J29" s="3">
        <f t="shared" si="10"/>
        <v>0</v>
      </c>
      <c r="K29" s="3">
        <f t="shared" si="10"/>
        <v>0</v>
      </c>
      <c r="L29" s="3">
        <f t="shared" si="10"/>
        <v>0</v>
      </c>
      <c r="M29" s="3">
        <f t="shared" si="10"/>
        <v>0</v>
      </c>
      <c r="N29" s="3">
        <f t="shared" si="10"/>
        <v>0</v>
      </c>
      <c r="O29" s="3">
        <f t="shared" si="10"/>
        <v>0</v>
      </c>
      <c r="P29" s="3">
        <f t="shared" si="10"/>
        <v>0</v>
      </c>
      <c r="Q29" s="6">
        <f>SUM(Q23:Q28)</f>
        <v>186</v>
      </c>
      <c r="R29" s="2" t="s">
        <v>17</v>
      </c>
      <c r="T29" s="2" t="s">
        <v>22</v>
      </c>
      <c r="U29" s="2">
        <v>1</v>
      </c>
    </row>
    <row r="30" spans="1:22" x14ac:dyDescent="0.2">
      <c r="Q30" s="9"/>
      <c r="T30" s="2" t="s">
        <v>23</v>
      </c>
      <c r="U30">
        <v>0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1">(C21+C16+C11+C7)</f>
        <v>100</v>
      </c>
      <c r="D31" s="4">
        <f t="shared" si="11"/>
        <v>100</v>
      </c>
      <c r="E31" s="4">
        <f t="shared" si="11"/>
        <v>100</v>
      </c>
      <c r="F31" s="4">
        <f t="shared" si="11"/>
        <v>100</v>
      </c>
      <c r="G31" s="4">
        <f t="shared" si="11"/>
        <v>100</v>
      </c>
      <c r="H31" s="4">
        <f t="shared" si="11"/>
        <v>100</v>
      </c>
      <c r="I31" s="4">
        <f t="shared" si="11"/>
        <v>100</v>
      </c>
      <c r="J31" s="4">
        <f t="shared" si="11"/>
        <v>100</v>
      </c>
      <c r="K31" s="4">
        <f t="shared" si="11"/>
        <v>100</v>
      </c>
      <c r="L31" s="4">
        <f t="shared" si="11"/>
        <v>100</v>
      </c>
      <c r="M31" s="4">
        <f t="shared" si="11"/>
        <v>100</v>
      </c>
      <c r="N31" s="4">
        <f t="shared" si="11"/>
        <v>100</v>
      </c>
      <c r="O31" s="4">
        <f t="shared" si="11"/>
        <v>100</v>
      </c>
      <c r="P31" s="4">
        <f t="shared" si="11"/>
        <v>100</v>
      </c>
      <c r="Q31" s="7">
        <f>SUM(Q21+Q16+Q11+Q7)</f>
        <v>100</v>
      </c>
      <c r="T31" s="3" t="s">
        <v>7</v>
      </c>
      <c r="U31" s="1">
        <v>186</v>
      </c>
    </row>
    <row r="35" spans="1:3" x14ac:dyDescent="0.2">
      <c r="A35" s="4" t="s">
        <v>82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B37">
        <v>6</v>
      </c>
      <c r="C37">
        <f>B37/B$41*100</f>
        <v>20</v>
      </c>
    </row>
    <row r="38" spans="1:3" x14ac:dyDescent="0.2">
      <c r="A38" t="s">
        <v>3</v>
      </c>
      <c r="B38">
        <v>13</v>
      </c>
      <c r="C38">
        <f t="shared" ref="C38:C41" si="12">B38/B$41*100</f>
        <v>43.333333333333336</v>
      </c>
    </row>
    <row r="39" spans="1:3" x14ac:dyDescent="0.2">
      <c r="A39" t="s">
        <v>4</v>
      </c>
      <c r="B39">
        <v>8</v>
      </c>
      <c r="C39">
        <f t="shared" si="12"/>
        <v>26.666666666666668</v>
      </c>
    </row>
    <row r="40" spans="1:3" x14ac:dyDescent="0.2">
      <c r="A40" t="s">
        <v>5</v>
      </c>
      <c r="B40">
        <v>3</v>
      </c>
      <c r="C40">
        <f t="shared" si="12"/>
        <v>10</v>
      </c>
    </row>
    <row r="41" spans="1:3" x14ac:dyDescent="0.2">
      <c r="A41" s="1" t="s">
        <v>13</v>
      </c>
      <c r="B41">
        <f>(B40+B39+B38+B37)</f>
        <v>30</v>
      </c>
      <c r="C41">
        <f t="shared" si="12"/>
        <v>100</v>
      </c>
    </row>
    <row r="44" spans="1:3" x14ac:dyDescent="0.2">
      <c r="A44" s="1" t="s">
        <v>7</v>
      </c>
      <c r="B44">
        <f>SUM(B45:B58)</f>
        <v>30</v>
      </c>
    </row>
    <row r="45" spans="1:3" x14ac:dyDescent="0.2">
      <c r="A45" t="s">
        <v>111</v>
      </c>
      <c r="B45">
        <v>8</v>
      </c>
      <c r="C45" t="s">
        <v>120</v>
      </c>
    </row>
    <row r="46" spans="1:3" x14ac:dyDescent="0.2">
      <c r="A46" t="s">
        <v>117</v>
      </c>
      <c r="B46">
        <v>3</v>
      </c>
      <c r="C46" t="s">
        <v>3</v>
      </c>
    </row>
    <row r="47" spans="1:3" x14ac:dyDescent="0.2">
      <c r="A47" t="s">
        <v>121</v>
      </c>
      <c r="B47">
        <v>3</v>
      </c>
      <c r="C47" t="s">
        <v>3</v>
      </c>
    </row>
    <row r="48" spans="1:3" x14ac:dyDescent="0.2">
      <c r="A48" t="s">
        <v>122</v>
      </c>
      <c r="B48">
        <v>2</v>
      </c>
      <c r="C48" t="s">
        <v>120</v>
      </c>
    </row>
    <row r="49" spans="1:3" x14ac:dyDescent="0.2">
      <c r="A49" t="s">
        <v>123</v>
      </c>
      <c r="B49">
        <v>13</v>
      </c>
      <c r="C49" t="s">
        <v>124</v>
      </c>
    </row>
    <row r="50" spans="1:3" x14ac:dyDescent="0.2">
      <c r="A50" t="s">
        <v>116</v>
      </c>
      <c r="B50">
        <v>1</v>
      </c>
      <c r="C50" t="s">
        <v>120</v>
      </c>
    </row>
  </sheetData>
  <conditionalFormatting sqref="B41">
    <cfRule type="cellIs" dxfId="44" priority="2" operator="lessThan">
      <formula>30</formula>
    </cfRule>
    <cfRule type="cellIs" dxfId="43" priority="3" operator="equal">
      <formula>30</formula>
    </cfRule>
  </conditionalFormatting>
  <conditionalFormatting sqref="B44">
    <cfRule type="cellIs" dxfId="42" priority="1" operator="equal">
      <formula>30</formula>
    </cfRule>
  </conditionalFormatting>
  <conditionalFormatting sqref="B31:P31">
    <cfRule type="cellIs" dxfId="41" priority="4" operator="lessThan">
      <formula>100</formula>
    </cfRule>
    <cfRule type="cellIs" dxfId="40" priority="5" operator="equal">
      <formula>100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C03A-C109-3249-A1D8-070D177EE5AC}">
  <sheetPr>
    <tabColor rgb="FF92D050"/>
  </sheetPr>
  <dimension ref="A1:V41"/>
  <sheetViews>
    <sheetView zoomScaleNormal="120" workbookViewId="0">
      <pane xSplit="1" topLeftCell="B1" activePane="topRight" state="frozen"/>
      <selection pane="topRight" activeCell="Q8" sqref="Q8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.5" bestFit="1" customWidth="1"/>
  </cols>
  <sheetData>
    <row r="1" spans="1:22" x14ac:dyDescent="0.2">
      <c r="A1" s="4" t="s">
        <v>46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</row>
    <row r="2" spans="1:22" x14ac:dyDescent="0.2">
      <c r="A2" s="1" t="s">
        <v>1</v>
      </c>
      <c r="B2">
        <v>60</v>
      </c>
      <c r="C2">
        <v>50</v>
      </c>
      <c r="D2">
        <v>50</v>
      </c>
      <c r="E2">
        <v>50</v>
      </c>
      <c r="F2">
        <v>40</v>
      </c>
      <c r="G2">
        <v>55</v>
      </c>
      <c r="H2">
        <v>70</v>
      </c>
      <c r="I2">
        <v>35</v>
      </c>
      <c r="J2">
        <v>30</v>
      </c>
      <c r="K2">
        <v>50</v>
      </c>
      <c r="L2">
        <v>40</v>
      </c>
      <c r="M2">
        <v>50</v>
      </c>
      <c r="N2">
        <v>30</v>
      </c>
      <c r="O2">
        <v>40</v>
      </c>
      <c r="P2">
        <v>50</v>
      </c>
      <c r="Q2" s="8"/>
      <c r="T2" s="1" t="s">
        <v>1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</row>
    <row r="7" spans="1:22" s="2" customFormat="1" x14ac:dyDescent="0.2">
      <c r="A7" s="3" t="s">
        <v>7</v>
      </c>
      <c r="B7" s="3">
        <f>(B2+B3)</f>
        <v>60</v>
      </c>
      <c r="C7" s="3">
        <f t="shared" ref="C7:P7" si="0">(C2+C3)</f>
        <v>50</v>
      </c>
      <c r="D7" s="3">
        <f t="shared" si="0"/>
        <v>50</v>
      </c>
      <c r="E7" s="3">
        <f t="shared" si="0"/>
        <v>50</v>
      </c>
      <c r="F7" s="3">
        <f t="shared" si="0"/>
        <v>40</v>
      </c>
      <c r="G7" s="3">
        <f t="shared" si="0"/>
        <v>55</v>
      </c>
      <c r="H7" s="3">
        <f t="shared" si="0"/>
        <v>70</v>
      </c>
      <c r="I7" s="3">
        <f t="shared" si="0"/>
        <v>35</v>
      </c>
      <c r="J7" s="3">
        <f t="shared" si="0"/>
        <v>30</v>
      </c>
      <c r="K7" s="3">
        <f t="shared" si="0"/>
        <v>50</v>
      </c>
      <c r="L7" s="3">
        <f t="shared" si="0"/>
        <v>40</v>
      </c>
      <c r="M7" s="3">
        <f t="shared" si="0"/>
        <v>50</v>
      </c>
      <c r="N7" s="3">
        <f t="shared" si="0"/>
        <v>30</v>
      </c>
      <c r="O7" s="3">
        <f t="shared" si="0"/>
        <v>40</v>
      </c>
      <c r="P7" s="3">
        <f t="shared" si="0"/>
        <v>50</v>
      </c>
      <c r="Q7" s="5">
        <f>AVERAGE(B7:P7)</f>
        <v>46.666666666666664</v>
      </c>
      <c r="R7" s="2" t="s">
        <v>16</v>
      </c>
      <c r="T7" s="19" t="s">
        <v>7</v>
      </c>
      <c r="U7">
        <f>Q7</f>
        <v>46.666666666666664</v>
      </c>
    </row>
    <row r="8" spans="1:22" x14ac:dyDescent="0.2">
      <c r="A8" s="1" t="s">
        <v>6</v>
      </c>
      <c r="Q8" s="9">
        <f>SUM(B8:P8)</f>
        <v>0</v>
      </c>
      <c r="T8" s="1" t="s">
        <v>6</v>
      </c>
    </row>
    <row r="9" spans="1:22" x14ac:dyDescent="0.2">
      <c r="A9" t="s">
        <v>34</v>
      </c>
      <c r="Q9" s="9">
        <f t="shared" ref="Q9:Q10" si="1">SUM(B9:P9)</f>
        <v>0</v>
      </c>
      <c r="T9" t="s">
        <v>34</v>
      </c>
    </row>
    <row r="10" spans="1:22" x14ac:dyDescent="0.2">
      <c r="A10" t="s">
        <v>47</v>
      </c>
      <c r="B10">
        <v>10</v>
      </c>
      <c r="C10">
        <v>20</v>
      </c>
      <c r="D10">
        <v>10</v>
      </c>
      <c r="E10">
        <v>15</v>
      </c>
      <c r="F10">
        <v>15</v>
      </c>
      <c r="G10">
        <v>15</v>
      </c>
      <c r="H10">
        <v>10</v>
      </c>
      <c r="I10">
        <v>15</v>
      </c>
      <c r="J10">
        <v>15</v>
      </c>
      <c r="K10">
        <v>15</v>
      </c>
      <c r="L10">
        <v>20</v>
      </c>
      <c r="M10">
        <v>25</v>
      </c>
      <c r="N10">
        <v>20</v>
      </c>
      <c r="O10">
        <v>25</v>
      </c>
      <c r="P10">
        <v>15</v>
      </c>
      <c r="Q10" s="9">
        <f t="shared" si="1"/>
        <v>245</v>
      </c>
      <c r="T10" t="s">
        <v>47</v>
      </c>
      <c r="U10">
        <f>Q10/V$11*100</f>
        <v>100</v>
      </c>
    </row>
    <row r="11" spans="1:22" s="2" customFormat="1" x14ac:dyDescent="0.2">
      <c r="A11" s="3" t="s">
        <v>7</v>
      </c>
      <c r="B11" s="3">
        <f>(B8+B9+B10)</f>
        <v>10</v>
      </c>
      <c r="C11" s="3">
        <f t="shared" ref="C11:P11" si="2">(C8+C9+C10)</f>
        <v>20</v>
      </c>
      <c r="D11" s="3">
        <f t="shared" si="2"/>
        <v>10</v>
      </c>
      <c r="E11" s="3">
        <f t="shared" si="2"/>
        <v>15</v>
      </c>
      <c r="F11" s="3">
        <f t="shared" si="2"/>
        <v>15</v>
      </c>
      <c r="G11" s="3">
        <f t="shared" si="2"/>
        <v>15</v>
      </c>
      <c r="H11" s="3">
        <f t="shared" si="2"/>
        <v>10</v>
      </c>
      <c r="I11" s="3">
        <f t="shared" si="2"/>
        <v>15</v>
      </c>
      <c r="J11" s="3">
        <f t="shared" si="2"/>
        <v>15</v>
      </c>
      <c r="K11" s="3">
        <f t="shared" si="2"/>
        <v>15</v>
      </c>
      <c r="L11" s="3">
        <f t="shared" si="2"/>
        <v>20</v>
      </c>
      <c r="M11" s="3">
        <f t="shared" si="2"/>
        <v>25</v>
      </c>
      <c r="N11" s="3">
        <f t="shared" si="2"/>
        <v>20</v>
      </c>
      <c r="O11" s="3">
        <f t="shared" si="2"/>
        <v>25</v>
      </c>
      <c r="P11" s="3">
        <f t="shared" si="2"/>
        <v>15</v>
      </c>
      <c r="Q11" s="5">
        <f>AVERAGE(B11:P11)</f>
        <v>16.333333333333332</v>
      </c>
      <c r="R11" s="2" t="s">
        <v>16</v>
      </c>
      <c r="T11" s="19" t="s">
        <v>7</v>
      </c>
      <c r="U11" s="2">
        <f>Q11</f>
        <v>16.333333333333332</v>
      </c>
      <c r="V11" s="2">
        <f>SUM(Q8:Q10)</f>
        <v>245</v>
      </c>
    </row>
    <row r="12" spans="1:22" x14ac:dyDescent="0.2">
      <c r="A12" s="1" t="s">
        <v>8</v>
      </c>
      <c r="B12">
        <v>15</v>
      </c>
      <c r="C12">
        <v>20</v>
      </c>
      <c r="D12">
        <v>20</v>
      </c>
      <c r="E12">
        <v>25</v>
      </c>
      <c r="F12">
        <v>30</v>
      </c>
      <c r="G12">
        <v>20</v>
      </c>
      <c r="H12">
        <v>15</v>
      </c>
      <c r="I12">
        <v>20</v>
      </c>
      <c r="J12">
        <v>15</v>
      </c>
      <c r="K12">
        <v>25</v>
      </c>
      <c r="L12">
        <v>30</v>
      </c>
      <c r="M12">
        <v>20</v>
      </c>
      <c r="N12">
        <v>30</v>
      </c>
      <c r="O12">
        <v>25</v>
      </c>
      <c r="P12">
        <v>25</v>
      </c>
      <c r="Q12" s="9"/>
      <c r="T12" s="1" t="s">
        <v>8</v>
      </c>
    </row>
    <row r="13" spans="1:22" x14ac:dyDescent="0.2">
      <c r="A13" s="1"/>
      <c r="Q13" s="9"/>
      <c r="T13" s="1"/>
    </row>
    <row r="14" spans="1:22" x14ac:dyDescent="0.2">
      <c r="A14" s="1"/>
      <c r="Q14" s="9"/>
      <c r="T14" s="1"/>
    </row>
    <row r="15" spans="1:22" x14ac:dyDescent="0.2">
      <c r="Q15" s="9"/>
    </row>
    <row r="16" spans="1:22" s="2" customFormat="1" x14ac:dyDescent="0.2">
      <c r="A16" s="3" t="s">
        <v>7</v>
      </c>
      <c r="B16" s="3">
        <f>(B12)</f>
        <v>15</v>
      </c>
      <c r="C16" s="3">
        <f t="shared" ref="C16:P16" si="3">(C12)</f>
        <v>20</v>
      </c>
      <c r="D16" s="3">
        <f t="shared" si="3"/>
        <v>20</v>
      </c>
      <c r="E16" s="3">
        <f t="shared" si="3"/>
        <v>25</v>
      </c>
      <c r="F16" s="3">
        <f t="shared" si="3"/>
        <v>30</v>
      </c>
      <c r="G16" s="3">
        <f t="shared" si="3"/>
        <v>20</v>
      </c>
      <c r="H16" s="3">
        <f t="shared" si="3"/>
        <v>15</v>
      </c>
      <c r="I16" s="3">
        <f t="shared" si="3"/>
        <v>20</v>
      </c>
      <c r="J16" s="3">
        <f>(J12)</f>
        <v>15</v>
      </c>
      <c r="K16" s="3">
        <f t="shared" si="3"/>
        <v>25</v>
      </c>
      <c r="L16" s="3">
        <f t="shared" si="3"/>
        <v>30</v>
      </c>
      <c r="M16" s="3">
        <f t="shared" si="3"/>
        <v>20</v>
      </c>
      <c r="N16" s="3">
        <f t="shared" si="3"/>
        <v>30</v>
      </c>
      <c r="O16" s="3">
        <f t="shared" si="3"/>
        <v>25</v>
      </c>
      <c r="P16" s="3">
        <f t="shared" si="3"/>
        <v>25</v>
      </c>
      <c r="Q16" s="5">
        <f>AVERAGE(B16:P16)</f>
        <v>22.333333333333332</v>
      </c>
      <c r="R16" s="2" t="s">
        <v>16</v>
      </c>
      <c r="T16" s="19" t="s">
        <v>7</v>
      </c>
      <c r="U16" s="2">
        <f>Q16</f>
        <v>22.333333333333332</v>
      </c>
    </row>
    <row r="17" spans="1:22" x14ac:dyDescent="0.2">
      <c r="A17" s="1" t="s">
        <v>9</v>
      </c>
      <c r="B17">
        <v>15</v>
      </c>
      <c r="C17">
        <v>10</v>
      </c>
      <c r="D17">
        <v>15</v>
      </c>
      <c r="E17">
        <v>5</v>
      </c>
      <c r="F17">
        <v>5</v>
      </c>
      <c r="G17">
        <v>10</v>
      </c>
      <c r="H17">
        <v>5</v>
      </c>
      <c r="I17">
        <v>30</v>
      </c>
      <c r="J17">
        <v>40</v>
      </c>
      <c r="K17">
        <v>10</v>
      </c>
      <c r="L17">
        <v>10</v>
      </c>
      <c r="M17">
        <v>5</v>
      </c>
      <c r="N17">
        <v>20</v>
      </c>
      <c r="O17">
        <v>10</v>
      </c>
      <c r="P17">
        <v>10</v>
      </c>
      <c r="Q17" s="9">
        <f>SUM(B17:P17)</f>
        <v>200</v>
      </c>
      <c r="T17" s="1" t="s">
        <v>9</v>
      </c>
      <c r="U17">
        <f>Q17/V$23*100</f>
        <v>90.909090909090907</v>
      </c>
    </row>
    <row r="18" spans="1:22" x14ac:dyDescent="0.2">
      <c r="A18" s="2" t="s">
        <v>14</v>
      </c>
      <c r="D18">
        <v>5</v>
      </c>
      <c r="E18">
        <v>5</v>
      </c>
      <c r="F18">
        <v>10</v>
      </c>
      <c r="Q18" s="9">
        <f t="shared" ref="Q18:Q20" si="4">SUM(B18:P18)</f>
        <v>20</v>
      </c>
      <c r="T18" s="2" t="s">
        <v>14</v>
      </c>
      <c r="U18">
        <f>Q18/V$23*100</f>
        <v>9.0909090909090917</v>
      </c>
    </row>
    <row r="19" spans="1:22" x14ac:dyDescent="0.2">
      <c r="A19" t="s">
        <v>26</v>
      </c>
      <c r="Q19" s="9">
        <f t="shared" si="4"/>
        <v>0</v>
      </c>
      <c r="R19" t="s">
        <v>42</v>
      </c>
      <c r="T19" t="s">
        <v>26</v>
      </c>
    </row>
    <row r="20" spans="1:22" x14ac:dyDescent="0.2">
      <c r="Q20" s="9">
        <f t="shared" si="4"/>
        <v>0</v>
      </c>
      <c r="T20" t="s">
        <v>65</v>
      </c>
    </row>
    <row r="21" spans="1:22" s="2" customFormat="1" x14ac:dyDescent="0.2">
      <c r="A21" s="3" t="s">
        <v>7</v>
      </c>
      <c r="B21" s="3">
        <f>(B17+B18)</f>
        <v>15</v>
      </c>
      <c r="C21" s="3">
        <f t="shared" ref="C21:P21" si="5">(C17+C18)</f>
        <v>10</v>
      </c>
      <c r="D21" s="3">
        <f t="shared" si="5"/>
        <v>20</v>
      </c>
      <c r="E21" s="3">
        <f t="shared" si="5"/>
        <v>10</v>
      </c>
      <c r="F21" s="3">
        <f t="shared" si="5"/>
        <v>15</v>
      </c>
      <c r="G21" s="3">
        <f t="shared" si="5"/>
        <v>10</v>
      </c>
      <c r="H21" s="3">
        <f t="shared" si="5"/>
        <v>5</v>
      </c>
      <c r="I21" s="3">
        <f t="shared" si="5"/>
        <v>30</v>
      </c>
      <c r="J21" s="3">
        <f t="shared" si="5"/>
        <v>40</v>
      </c>
      <c r="K21" s="3">
        <f t="shared" si="5"/>
        <v>10</v>
      </c>
      <c r="L21" s="3">
        <f t="shared" si="5"/>
        <v>10</v>
      </c>
      <c r="M21" s="3">
        <f t="shared" si="5"/>
        <v>5</v>
      </c>
      <c r="N21" s="3">
        <f t="shared" si="5"/>
        <v>20</v>
      </c>
      <c r="O21" s="3">
        <f t="shared" si="5"/>
        <v>10</v>
      </c>
      <c r="P21" s="3">
        <f t="shared" si="5"/>
        <v>10</v>
      </c>
      <c r="Q21" s="5">
        <f>AVERAGE(B21:P21)</f>
        <v>14.666666666666666</v>
      </c>
      <c r="R21" s="2" t="s">
        <v>16</v>
      </c>
      <c r="T21" t="s">
        <v>66</v>
      </c>
    </row>
    <row r="22" spans="1:22" x14ac:dyDescent="0.2">
      <c r="A22" s="1" t="s">
        <v>10</v>
      </c>
      <c r="Q22" s="11" t="s">
        <v>39</v>
      </c>
      <c r="R22" s="12" t="s">
        <v>38</v>
      </c>
      <c r="T22" t="s">
        <v>89</v>
      </c>
    </row>
    <row r="23" spans="1:22" x14ac:dyDescent="0.2">
      <c r="A23" s="2" t="s">
        <v>18</v>
      </c>
      <c r="B23">
        <v>11</v>
      </c>
      <c r="C23">
        <v>9</v>
      </c>
      <c r="E23">
        <v>10</v>
      </c>
      <c r="F23">
        <v>10</v>
      </c>
      <c r="G23">
        <v>7</v>
      </c>
      <c r="H23">
        <v>10</v>
      </c>
      <c r="I23">
        <v>11</v>
      </c>
      <c r="J23">
        <v>10</v>
      </c>
      <c r="K23">
        <v>17</v>
      </c>
      <c r="L23">
        <v>11</v>
      </c>
      <c r="M23">
        <v>9</v>
      </c>
      <c r="N23">
        <v>5</v>
      </c>
      <c r="O23">
        <v>6</v>
      </c>
      <c r="P23">
        <v>12</v>
      </c>
      <c r="Q23" s="9">
        <f>SUM(B23:P23)</f>
        <v>138</v>
      </c>
      <c r="R23">
        <f>Q23/Q$29*100</f>
        <v>88.461538461538453</v>
      </c>
      <c r="T23" s="19" t="s">
        <v>7</v>
      </c>
      <c r="U23">
        <f>Q21</f>
        <v>14.666666666666666</v>
      </c>
      <c r="V23" s="2">
        <f>SUM(Q17:Q20)</f>
        <v>220</v>
      </c>
    </row>
    <row r="24" spans="1:22" x14ac:dyDescent="0.2">
      <c r="A24" s="2" t="s">
        <v>19</v>
      </c>
      <c r="B24">
        <v>2</v>
      </c>
      <c r="E24">
        <v>3</v>
      </c>
      <c r="F24">
        <v>2</v>
      </c>
      <c r="G24">
        <v>1</v>
      </c>
      <c r="H24">
        <v>2</v>
      </c>
      <c r="I24">
        <v>3</v>
      </c>
      <c r="M24">
        <v>1</v>
      </c>
      <c r="O24">
        <v>2</v>
      </c>
      <c r="Q24" s="9">
        <f t="shared" ref="Q24:Q27" si="6">SUM(B24:P24)</f>
        <v>16</v>
      </c>
      <c r="R24">
        <f t="shared" ref="R24:R28" si="7">Q24/Q$29*100</f>
        <v>10.256410256410255</v>
      </c>
      <c r="T24" s="1" t="s">
        <v>10</v>
      </c>
    </row>
    <row r="25" spans="1:22" x14ac:dyDescent="0.2">
      <c r="A25" s="2" t="s">
        <v>20</v>
      </c>
      <c r="J25">
        <v>1</v>
      </c>
      <c r="L25">
        <v>1</v>
      </c>
      <c r="Q25" s="9">
        <f t="shared" si="6"/>
        <v>2</v>
      </c>
      <c r="R25">
        <f t="shared" si="7"/>
        <v>1.2820512820512819</v>
      </c>
      <c r="T25" s="2" t="s">
        <v>18</v>
      </c>
      <c r="U25" cm="1">
        <f t="array" ref="U25:U31">Q23:Q29</f>
        <v>138</v>
      </c>
    </row>
    <row r="26" spans="1:22" x14ac:dyDescent="0.2">
      <c r="A26" s="2" t="s">
        <v>21</v>
      </c>
      <c r="Q26" s="9">
        <f t="shared" si="6"/>
        <v>0</v>
      </c>
      <c r="R26">
        <f t="shared" si="7"/>
        <v>0</v>
      </c>
      <c r="T26" s="2" t="s">
        <v>19</v>
      </c>
      <c r="U26">
        <v>16</v>
      </c>
    </row>
    <row r="27" spans="1:22" x14ac:dyDescent="0.2">
      <c r="A27" s="2" t="s">
        <v>22</v>
      </c>
      <c r="Q27" s="9">
        <f t="shared" si="6"/>
        <v>0</v>
      </c>
      <c r="R27">
        <f t="shared" si="7"/>
        <v>0</v>
      </c>
      <c r="T27" s="2" t="s">
        <v>20</v>
      </c>
      <c r="U27">
        <v>2</v>
      </c>
    </row>
    <row r="28" spans="1:22" x14ac:dyDescent="0.2">
      <c r="A28" s="2" t="s">
        <v>23</v>
      </c>
      <c r="Q28" s="9">
        <f>SUM(B28:P28)</f>
        <v>0</v>
      </c>
      <c r="R28">
        <f t="shared" si="7"/>
        <v>0</v>
      </c>
      <c r="T28" s="2" t="s">
        <v>21</v>
      </c>
      <c r="U28">
        <v>0</v>
      </c>
    </row>
    <row r="29" spans="1:22" s="2" customFormat="1" x14ac:dyDescent="0.2">
      <c r="A29" s="3" t="s">
        <v>7</v>
      </c>
      <c r="B29" s="3">
        <f t="shared" ref="B29:P29" si="8">(B22)</f>
        <v>0</v>
      </c>
      <c r="C29" s="3">
        <f t="shared" si="8"/>
        <v>0</v>
      </c>
      <c r="D29" s="3">
        <f t="shared" si="8"/>
        <v>0</v>
      </c>
      <c r="E29" s="3">
        <f t="shared" si="8"/>
        <v>0</v>
      </c>
      <c r="F29" s="3">
        <f t="shared" si="8"/>
        <v>0</v>
      </c>
      <c r="G29" s="3">
        <f t="shared" si="8"/>
        <v>0</v>
      </c>
      <c r="H29" s="3">
        <f t="shared" si="8"/>
        <v>0</v>
      </c>
      <c r="I29" s="3">
        <f t="shared" si="8"/>
        <v>0</v>
      </c>
      <c r="J29" s="3">
        <f t="shared" si="8"/>
        <v>0</v>
      </c>
      <c r="K29" s="3">
        <f t="shared" si="8"/>
        <v>0</v>
      </c>
      <c r="L29" s="3">
        <f t="shared" si="8"/>
        <v>0</v>
      </c>
      <c r="M29" s="3">
        <f t="shared" si="8"/>
        <v>0</v>
      </c>
      <c r="N29" s="3">
        <f t="shared" si="8"/>
        <v>0</v>
      </c>
      <c r="O29" s="3">
        <f t="shared" si="8"/>
        <v>0</v>
      </c>
      <c r="P29" s="3">
        <f t="shared" si="8"/>
        <v>0</v>
      </c>
      <c r="Q29" s="6">
        <f>SUM(Q23:Q28)</f>
        <v>156</v>
      </c>
      <c r="R29" s="2" t="s">
        <v>17</v>
      </c>
      <c r="T29" s="2" t="s">
        <v>22</v>
      </c>
      <c r="U29" s="2">
        <v>0</v>
      </c>
    </row>
    <row r="30" spans="1:22" x14ac:dyDescent="0.2">
      <c r="Q30" s="9"/>
      <c r="T30" s="2" t="s">
        <v>23</v>
      </c>
      <c r="U30">
        <v>0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O31" si="9">(C21+C16+C11+C7)</f>
        <v>100</v>
      </c>
      <c r="D31" s="4">
        <f t="shared" si="9"/>
        <v>100</v>
      </c>
      <c r="E31" s="4">
        <f t="shared" si="9"/>
        <v>100</v>
      </c>
      <c r="F31" s="4">
        <f>(F21+F16+F11+F7)</f>
        <v>100</v>
      </c>
      <c r="G31" s="4">
        <f t="shared" si="9"/>
        <v>100</v>
      </c>
      <c r="H31" s="4">
        <f t="shared" si="9"/>
        <v>100</v>
      </c>
      <c r="I31" s="4">
        <f t="shared" si="9"/>
        <v>100</v>
      </c>
      <c r="J31" s="4">
        <f t="shared" si="9"/>
        <v>100</v>
      </c>
      <c r="K31" s="4">
        <f t="shared" si="9"/>
        <v>100</v>
      </c>
      <c r="L31" s="4">
        <f t="shared" si="9"/>
        <v>100</v>
      </c>
      <c r="M31" s="4">
        <f t="shared" si="9"/>
        <v>100</v>
      </c>
      <c r="N31" s="4">
        <f t="shared" si="9"/>
        <v>100</v>
      </c>
      <c r="O31" s="4">
        <f t="shared" si="9"/>
        <v>100</v>
      </c>
      <c r="P31" s="4">
        <f>(P21+P16+P11+P7)</f>
        <v>100</v>
      </c>
      <c r="Q31" s="7">
        <f>SUM(Q21+Q16+Q11+Q7)</f>
        <v>100</v>
      </c>
      <c r="T31" s="3" t="s">
        <v>7</v>
      </c>
      <c r="U31" s="1">
        <v>156</v>
      </c>
    </row>
    <row r="35" spans="1:3" x14ac:dyDescent="0.2">
      <c r="A35" s="4" t="s">
        <v>46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B37">
        <v>11</v>
      </c>
      <c r="C37">
        <f>B37/B$41*100</f>
        <v>36.666666666666664</v>
      </c>
    </row>
    <row r="38" spans="1:3" x14ac:dyDescent="0.2">
      <c r="A38" t="s">
        <v>3</v>
      </c>
      <c r="B38">
        <v>11</v>
      </c>
      <c r="C38">
        <f t="shared" ref="C38:C41" si="10">B38/B$41*100</f>
        <v>36.666666666666664</v>
      </c>
    </row>
    <row r="39" spans="1:3" x14ac:dyDescent="0.2">
      <c r="A39" t="s">
        <v>4</v>
      </c>
      <c r="B39">
        <v>8</v>
      </c>
      <c r="C39">
        <f t="shared" si="10"/>
        <v>26.666666666666668</v>
      </c>
    </row>
    <row r="40" spans="1:3" x14ac:dyDescent="0.2">
      <c r="A40" t="s">
        <v>5</v>
      </c>
      <c r="B40">
        <v>0</v>
      </c>
      <c r="C40">
        <f t="shared" si="10"/>
        <v>0</v>
      </c>
    </row>
    <row r="41" spans="1:3" x14ac:dyDescent="0.2">
      <c r="A41" s="1" t="s">
        <v>13</v>
      </c>
      <c r="B41">
        <f>(B40+B39+B38+B37)</f>
        <v>30</v>
      </c>
      <c r="C41">
        <f t="shared" si="10"/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DE01-D160-BE48-94DA-EBB5B5F59760}">
  <sheetPr>
    <tabColor rgb="FF92D050"/>
  </sheetPr>
  <dimension ref="A1:V57"/>
  <sheetViews>
    <sheetView topLeftCell="A21" workbookViewId="0">
      <selection activeCell="A49" sqref="A49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" bestFit="1" customWidth="1"/>
  </cols>
  <sheetData>
    <row r="1" spans="1:22" x14ac:dyDescent="0.2">
      <c r="A1" s="4" t="s">
        <v>50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</row>
    <row r="2" spans="1:22" x14ac:dyDescent="0.2">
      <c r="A2" s="1" t="s">
        <v>1</v>
      </c>
      <c r="B2">
        <v>70</v>
      </c>
      <c r="C2">
        <v>80</v>
      </c>
      <c r="D2">
        <v>60</v>
      </c>
      <c r="E2">
        <v>50</v>
      </c>
      <c r="F2">
        <v>40</v>
      </c>
      <c r="G2">
        <v>40</v>
      </c>
      <c r="H2">
        <v>40</v>
      </c>
      <c r="I2">
        <v>50</v>
      </c>
      <c r="J2">
        <v>40</v>
      </c>
      <c r="K2">
        <v>60</v>
      </c>
      <c r="L2">
        <v>40</v>
      </c>
      <c r="M2">
        <v>40</v>
      </c>
      <c r="N2">
        <v>40</v>
      </c>
      <c r="O2">
        <v>50</v>
      </c>
      <c r="P2">
        <v>40</v>
      </c>
      <c r="Q2" s="8"/>
      <c r="T2" s="1" t="s">
        <v>1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</row>
    <row r="7" spans="1:22" s="2" customFormat="1" x14ac:dyDescent="0.2">
      <c r="A7" s="3" t="s">
        <v>7</v>
      </c>
      <c r="B7" s="3">
        <f>(B2+B3)</f>
        <v>70</v>
      </c>
      <c r="C7" s="3">
        <f t="shared" ref="C7:P7" si="0">(C2+C3)</f>
        <v>80</v>
      </c>
      <c r="D7" s="3">
        <f t="shared" si="0"/>
        <v>60</v>
      </c>
      <c r="E7" s="3">
        <f t="shared" si="0"/>
        <v>50</v>
      </c>
      <c r="F7" s="3">
        <f t="shared" si="0"/>
        <v>40</v>
      </c>
      <c r="G7" s="3">
        <f t="shared" si="0"/>
        <v>40</v>
      </c>
      <c r="H7" s="3">
        <f t="shared" si="0"/>
        <v>40</v>
      </c>
      <c r="I7" s="3">
        <f t="shared" si="0"/>
        <v>50</v>
      </c>
      <c r="J7" s="3">
        <f t="shared" si="0"/>
        <v>40</v>
      </c>
      <c r="K7" s="3">
        <f t="shared" si="0"/>
        <v>60</v>
      </c>
      <c r="L7" s="3">
        <f t="shared" si="0"/>
        <v>40</v>
      </c>
      <c r="M7" s="3">
        <f t="shared" si="0"/>
        <v>40</v>
      </c>
      <c r="N7" s="3">
        <f t="shared" si="0"/>
        <v>40</v>
      </c>
      <c r="O7" s="3">
        <f t="shared" si="0"/>
        <v>50</v>
      </c>
      <c r="P7" s="3">
        <f t="shared" si="0"/>
        <v>40</v>
      </c>
      <c r="Q7" s="5">
        <f>AVERAGE(B7:P7)</f>
        <v>49.333333333333336</v>
      </c>
      <c r="R7" s="2" t="s">
        <v>16</v>
      </c>
      <c r="T7" s="19" t="s">
        <v>7</v>
      </c>
      <c r="U7" s="2">
        <f>Q7</f>
        <v>49.333333333333336</v>
      </c>
    </row>
    <row r="8" spans="1:22" x14ac:dyDescent="0.2">
      <c r="A8" s="1" t="s">
        <v>6</v>
      </c>
      <c r="Q8" s="9">
        <f>SUM(B8:P8)</f>
        <v>0</v>
      </c>
      <c r="T8" s="1" t="s">
        <v>6</v>
      </c>
      <c r="U8">
        <f>Q8/V$11*100</f>
        <v>0</v>
      </c>
    </row>
    <row r="9" spans="1:22" x14ac:dyDescent="0.2">
      <c r="A9" t="s">
        <v>34</v>
      </c>
      <c r="Q9" s="9">
        <f t="shared" ref="Q9:Q10" si="1">SUM(B9:P9)</f>
        <v>0</v>
      </c>
      <c r="T9" t="s">
        <v>34</v>
      </c>
      <c r="U9">
        <f t="shared" ref="U9:U10" si="2">Q9/V$11*100</f>
        <v>0</v>
      </c>
    </row>
    <row r="10" spans="1:22" x14ac:dyDescent="0.2">
      <c r="A10" t="s">
        <v>47</v>
      </c>
      <c r="B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10</v>
      </c>
      <c r="O10">
        <v>5</v>
      </c>
      <c r="P10">
        <v>5</v>
      </c>
      <c r="Q10" s="9">
        <f t="shared" si="1"/>
        <v>75</v>
      </c>
      <c r="T10" t="s">
        <v>47</v>
      </c>
      <c r="U10">
        <f t="shared" si="2"/>
        <v>100</v>
      </c>
    </row>
    <row r="11" spans="1:22" s="2" customFormat="1" x14ac:dyDescent="0.2">
      <c r="A11" s="3" t="s">
        <v>7</v>
      </c>
      <c r="B11" s="3">
        <f>(B8+B9+B10)</f>
        <v>5</v>
      </c>
      <c r="C11" s="3">
        <f t="shared" ref="C11:P11" si="3">(C8+C9+C10)</f>
        <v>0</v>
      </c>
      <c r="D11" s="3">
        <f t="shared" si="3"/>
        <v>5</v>
      </c>
      <c r="E11" s="3">
        <f t="shared" si="3"/>
        <v>5</v>
      </c>
      <c r="F11" s="3">
        <f t="shared" si="3"/>
        <v>5</v>
      </c>
      <c r="G11" s="3">
        <f t="shared" si="3"/>
        <v>5</v>
      </c>
      <c r="H11" s="3">
        <f t="shared" si="3"/>
        <v>5</v>
      </c>
      <c r="I11" s="3">
        <f t="shared" si="3"/>
        <v>5</v>
      </c>
      <c r="J11" s="3">
        <f t="shared" si="3"/>
        <v>5</v>
      </c>
      <c r="K11" s="3">
        <f t="shared" si="3"/>
        <v>5</v>
      </c>
      <c r="L11" s="3">
        <f t="shared" si="3"/>
        <v>5</v>
      </c>
      <c r="M11" s="3">
        <f t="shared" si="3"/>
        <v>5</v>
      </c>
      <c r="N11" s="3">
        <f t="shared" si="3"/>
        <v>10</v>
      </c>
      <c r="O11" s="3">
        <f t="shared" si="3"/>
        <v>5</v>
      </c>
      <c r="P11" s="3">
        <f t="shared" si="3"/>
        <v>5</v>
      </c>
      <c r="Q11" s="5">
        <f>AVERAGE(B11:P11)</f>
        <v>5</v>
      </c>
      <c r="R11" s="2" t="s">
        <v>16</v>
      </c>
      <c r="T11" s="19" t="s">
        <v>7</v>
      </c>
      <c r="U11" s="2">
        <f>Q11</f>
        <v>5</v>
      </c>
      <c r="V11" s="2">
        <f>SUM(Q8:Q10)</f>
        <v>75</v>
      </c>
    </row>
    <row r="12" spans="1:22" x14ac:dyDescent="0.2">
      <c r="A12" s="1" t="s">
        <v>8</v>
      </c>
      <c r="B12">
        <v>20</v>
      </c>
      <c r="C12">
        <v>15</v>
      </c>
      <c r="D12">
        <v>30</v>
      </c>
      <c r="E12">
        <v>40</v>
      </c>
      <c r="F12">
        <v>50</v>
      </c>
      <c r="G12">
        <v>50</v>
      </c>
      <c r="H12">
        <v>50</v>
      </c>
      <c r="I12">
        <v>40</v>
      </c>
      <c r="J12">
        <v>50</v>
      </c>
      <c r="K12">
        <v>30</v>
      </c>
      <c r="L12">
        <v>50</v>
      </c>
      <c r="M12">
        <v>50</v>
      </c>
      <c r="N12">
        <v>40</v>
      </c>
      <c r="O12">
        <v>40</v>
      </c>
      <c r="P12">
        <v>50</v>
      </c>
      <c r="Q12" s="9"/>
      <c r="T12" s="1" t="s">
        <v>8</v>
      </c>
    </row>
    <row r="13" spans="1:22" x14ac:dyDescent="0.2">
      <c r="A13" s="1"/>
      <c r="Q13" s="9"/>
      <c r="T13" s="1"/>
    </row>
    <row r="14" spans="1:22" x14ac:dyDescent="0.2">
      <c r="A14" s="1"/>
      <c r="Q14" s="9"/>
      <c r="T14" s="1"/>
    </row>
    <row r="15" spans="1:22" x14ac:dyDescent="0.2">
      <c r="Q15" s="9"/>
    </row>
    <row r="16" spans="1:22" s="2" customFormat="1" x14ac:dyDescent="0.2">
      <c r="A16" s="3" t="s">
        <v>7</v>
      </c>
      <c r="B16" s="3">
        <f>(B12)</f>
        <v>20</v>
      </c>
      <c r="C16" s="3">
        <f t="shared" ref="C16:P16" si="4">(C12)</f>
        <v>15</v>
      </c>
      <c r="D16" s="3">
        <f t="shared" si="4"/>
        <v>30</v>
      </c>
      <c r="E16" s="3">
        <f t="shared" si="4"/>
        <v>40</v>
      </c>
      <c r="F16" s="3">
        <f t="shared" si="4"/>
        <v>50</v>
      </c>
      <c r="G16" s="3">
        <f t="shared" si="4"/>
        <v>50</v>
      </c>
      <c r="H16" s="3">
        <f t="shared" si="4"/>
        <v>50</v>
      </c>
      <c r="I16" s="3">
        <f t="shared" si="4"/>
        <v>40</v>
      </c>
      <c r="J16" s="3">
        <f>(J12)</f>
        <v>50</v>
      </c>
      <c r="K16" s="3">
        <f t="shared" si="4"/>
        <v>30</v>
      </c>
      <c r="L16" s="3">
        <f t="shared" si="4"/>
        <v>50</v>
      </c>
      <c r="M16" s="3">
        <f t="shared" si="4"/>
        <v>50</v>
      </c>
      <c r="N16" s="3">
        <f t="shared" si="4"/>
        <v>40</v>
      </c>
      <c r="O16" s="3">
        <f t="shared" si="4"/>
        <v>40</v>
      </c>
      <c r="P16" s="3">
        <f t="shared" si="4"/>
        <v>50</v>
      </c>
      <c r="Q16" s="5">
        <f>AVERAGE(B16:P16)</f>
        <v>40.333333333333336</v>
      </c>
      <c r="R16" s="2" t="s">
        <v>16</v>
      </c>
      <c r="T16" s="19" t="s">
        <v>7</v>
      </c>
      <c r="U16" s="2">
        <f>Q16</f>
        <v>40.333333333333336</v>
      </c>
    </row>
    <row r="17" spans="1:22" x14ac:dyDescent="0.2">
      <c r="A17" s="1" t="s">
        <v>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10</v>
      </c>
      <c r="O17">
        <v>5</v>
      </c>
      <c r="P17">
        <v>5</v>
      </c>
      <c r="Q17" s="9">
        <f t="shared" ref="Q17:Q20" si="5">SUM(B17:P17)</f>
        <v>80</v>
      </c>
      <c r="T17" s="1" t="s">
        <v>9</v>
      </c>
      <c r="U17">
        <f>Q17/V$23*100</f>
        <v>100</v>
      </c>
    </row>
    <row r="18" spans="1:22" x14ac:dyDescent="0.2">
      <c r="A18" s="2" t="s">
        <v>14</v>
      </c>
      <c r="Q18" s="9">
        <f t="shared" si="5"/>
        <v>0</v>
      </c>
      <c r="T18" s="2" t="s">
        <v>14</v>
      </c>
      <c r="U18">
        <f t="shared" ref="U18:U20" si="6">Q18/V$23*100</f>
        <v>0</v>
      </c>
    </row>
    <row r="19" spans="1:22" x14ac:dyDescent="0.2">
      <c r="A19" t="s">
        <v>26</v>
      </c>
      <c r="Q19" s="9">
        <f t="shared" si="5"/>
        <v>0</v>
      </c>
      <c r="R19" t="s">
        <v>42</v>
      </c>
      <c r="T19" t="s">
        <v>26</v>
      </c>
      <c r="U19">
        <f t="shared" si="6"/>
        <v>0</v>
      </c>
    </row>
    <row r="20" spans="1:22" x14ac:dyDescent="0.2">
      <c r="Q20" s="9">
        <f t="shared" si="5"/>
        <v>0</v>
      </c>
      <c r="T20" t="s">
        <v>65</v>
      </c>
      <c r="U20">
        <f t="shared" si="6"/>
        <v>0</v>
      </c>
    </row>
    <row r="21" spans="1:22" s="2" customFormat="1" x14ac:dyDescent="0.2">
      <c r="A21" s="3" t="s">
        <v>7</v>
      </c>
      <c r="B21" s="3">
        <f>(B17+B18)</f>
        <v>5</v>
      </c>
      <c r="C21" s="3">
        <f t="shared" ref="C21:P21" si="7">(C17+C18)</f>
        <v>5</v>
      </c>
      <c r="D21" s="3">
        <f t="shared" si="7"/>
        <v>5</v>
      </c>
      <c r="E21" s="3">
        <f t="shared" si="7"/>
        <v>5</v>
      </c>
      <c r="F21" s="3">
        <f t="shared" si="7"/>
        <v>5</v>
      </c>
      <c r="G21" s="3">
        <f t="shared" si="7"/>
        <v>5</v>
      </c>
      <c r="H21" s="3">
        <f t="shared" si="7"/>
        <v>5</v>
      </c>
      <c r="I21" s="3">
        <f t="shared" si="7"/>
        <v>5</v>
      </c>
      <c r="J21" s="3">
        <f t="shared" si="7"/>
        <v>5</v>
      </c>
      <c r="K21" s="3">
        <f t="shared" si="7"/>
        <v>5</v>
      </c>
      <c r="L21" s="3">
        <f t="shared" si="7"/>
        <v>5</v>
      </c>
      <c r="M21" s="3">
        <f t="shared" si="7"/>
        <v>5</v>
      </c>
      <c r="N21" s="3">
        <f t="shared" si="7"/>
        <v>10</v>
      </c>
      <c r="O21" s="3">
        <f t="shared" si="7"/>
        <v>5</v>
      </c>
      <c r="P21" s="3">
        <f t="shared" si="7"/>
        <v>5</v>
      </c>
      <c r="Q21" s="5">
        <f>AVERAGE(B21:P21)</f>
        <v>5.333333333333333</v>
      </c>
      <c r="R21" s="2" t="s">
        <v>16</v>
      </c>
      <c r="T21" t="s">
        <v>66</v>
      </c>
    </row>
    <row r="22" spans="1:22" x14ac:dyDescent="0.2">
      <c r="A22" s="1" t="s">
        <v>10</v>
      </c>
      <c r="Q22" s="11" t="s">
        <v>39</v>
      </c>
      <c r="R22" s="12" t="s">
        <v>38</v>
      </c>
      <c r="T22" t="s">
        <v>89</v>
      </c>
    </row>
    <row r="23" spans="1:22" x14ac:dyDescent="0.2">
      <c r="A23" s="2" t="s">
        <v>18</v>
      </c>
      <c r="B23">
        <v>3</v>
      </c>
      <c r="C23">
        <v>5</v>
      </c>
      <c r="D23">
        <v>4</v>
      </c>
      <c r="E23">
        <v>2</v>
      </c>
      <c r="F23">
        <v>3</v>
      </c>
      <c r="G23">
        <v>2</v>
      </c>
      <c r="H23">
        <v>5</v>
      </c>
      <c r="I23">
        <v>2</v>
      </c>
      <c r="J23">
        <v>1</v>
      </c>
      <c r="K23">
        <v>3</v>
      </c>
      <c r="L23">
        <v>3</v>
      </c>
      <c r="M23">
        <v>6</v>
      </c>
      <c r="O23">
        <v>5</v>
      </c>
      <c r="P23">
        <v>2</v>
      </c>
      <c r="Q23" s="9">
        <f>SUM(B23:P23)</f>
        <v>46</v>
      </c>
      <c r="R23">
        <f>Q23/Q$29*100</f>
        <v>85.18518518518519</v>
      </c>
      <c r="T23" s="19" t="s">
        <v>7</v>
      </c>
      <c r="U23">
        <f>Q21</f>
        <v>5.333333333333333</v>
      </c>
      <c r="V23">
        <f>SUM(Q17:Q20)</f>
        <v>80</v>
      </c>
    </row>
    <row r="24" spans="1:22" x14ac:dyDescent="0.2">
      <c r="A24" s="2" t="s">
        <v>19</v>
      </c>
      <c r="C24">
        <v>2</v>
      </c>
      <c r="I24">
        <v>1</v>
      </c>
      <c r="L24">
        <v>2</v>
      </c>
      <c r="M24">
        <v>1</v>
      </c>
      <c r="N24">
        <v>1</v>
      </c>
      <c r="Q24" s="9">
        <f t="shared" ref="Q24:Q27" si="8">SUM(B24:P24)</f>
        <v>7</v>
      </c>
      <c r="R24">
        <f t="shared" ref="R24:R28" si="9">Q24/Q$29*100</f>
        <v>12.962962962962962</v>
      </c>
      <c r="T24" s="1" t="s">
        <v>10</v>
      </c>
    </row>
    <row r="25" spans="1:22" x14ac:dyDescent="0.2">
      <c r="A25" s="2" t="s">
        <v>20</v>
      </c>
      <c r="Q25" s="9">
        <f t="shared" si="8"/>
        <v>0</v>
      </c>
      <c r="R25">
        <f t="shared" si="9"/>
        <v>0</v>
      </c>
      <c r="T25" s="2" t="s">
        <v>18</v>
      </c>
      <c r="U25" cm="1">
        <f t="array" ref="U25:U31">Q23:Q29</f>
        <v>46</v>
      </c>
    </row>
    <row r="26" spans="1:22" x14ac:dyDescent="0.2">
      <c r="A26" s="2" t="s">
        <v>21</v>
      </c>
      <c r="M26">
        <v>1</v>
      </c>
      <c r="Q26" s="9">
        <f t="shared" si="8"/>
        <v>1</v>
      </c>
      <c r="R26">
        <f t="shared" si="9"/>
        <v>1.8518518518518516</v>
      </c>
      <c r="T26" s="2" t="s">
        <v>19</v>
      </c>
      <c r="U26">
        <v>7</v>
      </c>
    </row>
    <row r="27" spans="1:22" x14ac:dyDescent="0.2">
      <c r="A27" s="2" t="s">
        <v>22</v>
      </c>
      <c r="Q27" s="9">
        <f t="shared" si="8"/>
        <v>0</v>
      </c>
      <c r="R27">
        <f t="shared" si="9"/>
        <v>0</v>
      </c>
      <c r="T27" s="2" t="s">
        <v>20</v>
      </c>
      <c r="U27">
        <v>0</v>
      </c>
    </row>
    <row r="28" spans="1:22" x14ac:dyDescent="0.2">
      <c r="A28" s="2" t="s">
        <v>23</v>
      </c>
      <c r="Q28" s="9">
        <f>SUM(B28:P28)</f>
        <v>0</v>
      </c>
      <c r="R28">
        <f t="shared" si="9"/>
        <v>0</v>
      </c>
      <c r="T28" s="2" t="s">
        <v>21</v>
      </c>
      <c r="U28">
        <v>1</v>
      </c>
    </row>
    <row r="29" spans="1:22" s="2" customFormat="1" x14ac:dyDescent="0.2">
      <c r="A29" s="3" t="s">
        <v>7</v>
      </c>
      <c r="B29" s="3">
        <f t="shared" ref="B29:P29" si="10">(B22)</f>
        <v>0</v>
      </c>
      <c r="C29" s="3">
        <f t="shared" si="10"/>
        <v>0</v>
      </c>
      <c r="D29" s="3">
        <f t="shared" si="10"/>
        <v>0</v>
      </c>
      <c r="E29" s="3">
        <f t="shared" si="10"/>
        <v>0</v>
      </c>
      <c r="F29" s="3">
        <f t="shared" si="10"/>
        <v>0</v>
      </c>
      <c r="G29" s="3">
        <f t="shared" si="10"/>
        <v>0</v>
      </c>
      <c r="H29" s="3">
        <f t="shared" si="10"/>
        <v>0</v>
      </c>
      <c r="I29" s="3">
        <f t="shared" si="10"/>
        <v>0</v>
      </c>
      <c r="J29" s="3">
        <f t="shared" si="10"/>
        <v>0</v>
      </c>
      <c r="K29" s="3">
        <f t="shared" si="10"/>
        <v>0</v>
      </c>
      <c r="L29" s="3">
        <f t="shared" si="10"/>
        <v>0</v>
      </c>
      <c r="M29" s="3">
        <f t="shared" si="10"/>
        <v>0</v>
      </c>
      <c r="N29" s="3">
        <f t="shared" si="10"/>
        <v>0</v>
      </c>
      <c r="O29" s="3">
        <f t="shared" si="10"/>
        <v>0</v>
      </c>
      <c r="P29" s="3">
        <f t="shared" si="10"/>
        <v>0</v>
      </c>
      <c r="Q29" s="6">
        <f>SUM(Q23:Q28)</f>
        <v>54</v>
      </c>
      <c r="R29" s="2" t="s">
        <v>17</v>
      </c>
      <c r="T29" s="2" t="s">
        <v>22</v>
      </c>
      <c r="U29" s="2">
        <v>0</v>
      </c>
    </row>
    <row r="30" spans="1:22" x14ac:dyDescent="0.2">
      <c r="Q30" s="9"/>
      <c r="T30" s="2" t="s">
        <v>23</v>
      </c>
      <c r="U30">
        <v>0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1">(C21+C16+C11+C7)</f>
        <v>100</v>
      </c>
      <c r="D31" s="4">
        <f t="shared" si="11"/>
        <v>100</v>
      </c>
      <c r="E31" s="4">
        <f t="shared" si="11"/>
        <v>100</v>
      </c>
      <c r="F31" s="4">
        <f t="shared" si="11"/>
        <v>100</v>
      </c>
      <c r="G31" s="4">
        <f t="shared" si="11"/>
        <v>100</v>
      </c>
      <c r="H31" s="4">
        <f t="shared" si="11"/>
        <v>100</v>
      </c>
      <c r="I31" s="4">
        <f t="shared" si="11"/>
        <v>100</v>
      </c>
      <c r="J31" s="4">
        <f t="shared" si="11"/>
        <v>100</v>
      </c>
      <c r="K31" s="4">
        <f t="shared" si="11"/>
        <v>100</v>
      </c>
      <c r="L31" s="4">
        <f t="shared" si="11"/>
        <v>100</v>
      </c>
      <c r="M31" s="4">
        <f t="shared" si="11"/>
        <v>100</v>
      </c>
      <c r="N31" s="4">
        <f t="shared" si="11"/>
        <v>100</v>
      </c>
      <c r="O31" s="4">
        <f t="shared" si="11"/>
        <v>100</v>
      </c>
      <c r="P31" s="4">
        <f t="shared" si="11"/>
        <v>100</v>
      </c>
      <c r="Q31" s="7">
        <f>SUM(Q21+Q16+Q11+Q7)</f>
        <v>100</v>
      </c>
      <c r="T31" s="3" t="s">
        <v>7</v>
      </c>
      <c r="U31" s="1">
        <v>54</v>
      </c>
    </row>
    <row r="35" spans="1:3" x14ac:dyDescent="0.2">
      <c r="A35" s="4" t="s">
        <v>50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B37">
        <v>3</v>
      </c>
      <c r="C37">
        <f>B37/B$41*100</f>
        <v>10</v>
      </c>
    </row>
    <row r="38" spans="1:3" x14ac:dyDescent="0.2">
      <c r="A38" t="s">
        <v>3</v>
      </c>
      <c r="B38">
        <v>7</v>
      </c>
      <c r="C38">
        <f t="shared" ref="C38:C41" si="12">B38/B$41*100</f>
        <v>23.333333333333332</v>
      </c>
    </row>
    <row r="39" spans="1:3" x14ac:dyDescent="0.2">
      <c r="A39" t="s">
        <v>4</v>
      </c>
      <c r="B39">
        <v>20</v>
      </c>
      <c r="C39">
        <f t="shared" si="12"/>
        <v>66.666666666666657</v>
      </c>
    </row>
    <row r="40" spans="1:3" x14ac:dyDescent="0.2">
      <c r="A40" t="s">
        <v>5</v>
      </c>
      <c r="C40">
        <f t="shared" si="12"/>
        <v>0</v>
      </c>
    </row>
    <row r="41" spans="1:3" x14ac:dyDescent="0.2">
      <c r="A41" s="1" t="s">
        <v>13</v>
      </c>
      <c r="B41">
        <f>(B40+B39+B38+B37)</f>
        <v>30</v>
      </c>
      <c r="C41">
        <f t="shared" si="12"/>
        <v>100</v>
      </c>
    </row>
    <row r="45" spans="1:3" x14ac:dyDescent="0.2">
      <c r="A45" t="s">
        <v>7</v>
      </c>
      <c r="B45">
        <f>SUM(B46:B53)</f>
        <v>4</v>
      </c>
    </row>
    <row r="46" spans="1:3" x14ac:dyDescent="0.2">
      <c r="A46" t="s">
        <v>106</v>
      </c>
      <c r="B46">
        <v>2</v>
      </c>
    </row>
    <row r="47" spans="1:3" x14ac:dyDescent="0.2">
      <c r="A47" t="s">
        <v>107</v>
      </c>
      <c r="B47">
        <v>1</v>
      </c>
    </row>
    <row r="48" spans="1:3" x14ac:dyDescent="0.2">
      <c r="A48" t="s">
        <v>111</v>
      </c>
      <c r="B48">
        <v>1</v>
      </c>
    </row>
    <row r="56" spans="1:2" x14ac:dyDescent="0.2">
      <c r="A56" t="s">
        <v>108</v>
      </c>
      <c r="B56" t="s">
        <v>109</v>
      </c>
    </row>
    <row r="57" spans="1:2" x14ac:dyDescent="0.2">
      <c r="B57" t="s">
        <v>110</v>
      </c>
    </row>
  </sheetData>
  <conditionalFormatting sqref="B41">
    <cfRule type="cellIs" dxfId="39" priority="2" operator="lessThan">
      <formula>30</formula>
    </cfRule>
    <cfRule type="cellIs" dxfId="38" priority="3" operator="equal">
      <formula>30</formula>
    </cfRule>
  </conditionalFormatting>
  <conditionalFormatting sqref="B31:P31">
    <cfRule type="cellIs" dxfId="37" priority="1" operator="lessThan">
      <formula>100</formula>
    </cfRule>
    <cfRule type="cellIs" dxfId="36" priority="4" operator="equal">
      <formula>100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F663-4F0B-D645-AC48-D882EC0D67E1}">
  <sheetPr>
    <tabColor rgb="FF92D050"/>
  </sheetPr>
  <dimension ref="A1:V46"/>
  <sheetViews>
    <sheetView workbookViewId="0">
      <pane xSplit="1" topLeftCell="B1" activePane="topRight" state="frozen"/>
      <selection pane="topRight" activeCell="V17" sqref="V17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" bestFit="1" customWidth="1"/>
  </cols>
  <sheetData>
    <row r="1" spans="1:22" x14ac:dyDescent="0.2">
      <c r="A1" s="4" t="s">
        <v>51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</row>
    <row r="2" spans="1:22" x14ac:dyDescent="0.2">
      <c r="A2" s="1" t="s">
        <v>1</v>
      </c>
      <c r="B2">
        <v>60</v>
      </c>
      <c r="C2">
        <v>60</v>
      </c>
      <c r="D2">
        <v>40</v>
      </c>
      <c r="E2">
        <v>55</v>
      </c>
      <c r="F2">
        <v>60</v>
      </c>
      <c r="G2">
        <v>50</v>
      </c>
      <c r="H2">
        <v>60</v>
      </c>
      <c r="I2">
        <v>50</v>
      </c>
      <c r="J2">
        <v>60</v>
      </c>
      <c r="K2">
        <v>60</v>
      </c>
      <c r="L2">
        <v>60</v>
      </c>
      <c r="M2">
        <v>60</v>
      </c>
      <c r="N2">
        <v>45</v>
      </c>
      <c r="O2">
        <v>50</v>
      </c>
      <c r="P2">
        <v>25</v>
      </c>
      <c r="Q2" s="8"/>
      <c r="T2" s="1" t="s">
        <v>1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</row>
    <row r="7" spans="1:22" s="2" customFormat="1" x14ac:dyDescent="0.2">
      <c r="A7" s="3" t="s">
        <v>7</v>
      </c>
      <c r="B7" s="3">
        <f>(B2+B3)</f>
        <v>60</v>
      </c>
      <c r="C7" s="3">
        <f t="shared" ref="C7:P7" si="0">(C2+C3)</f>
        <v>60</v>
      </c>
      <c r="D7" s="3">
        <f t="shared" si="0"/>
        <v>40</v>
      </c>
      <c r="E7" s="3">
        <f t="shared" si="0"/>
        <v>55</v>
      </c>
      <c r="F7" s="3">
        <f t="shared" si="0"/>
        <v>60</v>
      </c>
      <c r="G7" s="3">
        <f t="shared" si="0"/>
        <v>50</v>
      </c>
      <c r="H7" s="3">
        <f t="shared" si="0"/>
        <v>60</v>
      </c>
      <c r="I7" s="3">
        <f t="shared" si="0"/>
        <v>50</v>
      </c>
      <c r="J7" s="3">
        <f t="shared" si="0"/>
        <v>60</v>
      </c>
      <c r="K7" s="3">
        <f t="shared" si="0"/>
        <v>60</v>
      </c>
      <c r="L7" s="3">
        <f t="shared" si="0"/>
        <v>60</v>
      </c>
      <c r="M7" s="3">
        <f t="shared" si="0"/>
        <v>60</v>
      </c>
      <c r="N7" s="3">
        <f t="shared" si="0"/>
        <v>45</v>
      </c>
      <c r="O7" s="3">
        <f t="shared" si="0"/>
        <v>50</v>
      </c>
      <c r="P7" s="3">
        <f t="shared" si="0"/>
        <v>25</v>
      </c>
      <c r="Q7" s="5">
        <f>AVERAGE(B7:P7)</f>
        <v>53</v>
      </c>
      <c r="R7" s="2" t="s">
        <v>16</v>
      </c>
      <c r="T7" s="19" t="s">
        <v>7</v>
      </c>
      <c r="U7" s="2">
        <f>Q7</f>
        <v>53</v>
      </c>
    </row>
    <row r="8" spans="1:22" x14ac:dyDescent="0.2">
      <c r="A8" s="1" t="s">
        <v>6</v>
      </c>
      <c r="E8">
        <v>5</v>
      </c>
      <c r="L8">
        <v>10</v>
      </c>
      <c r="N8">
        <v>10</v>
      </c>
      <c r="P8">
        <v>20</v>
      </c>
      <c r="Q8" s="9">
        <f>SUM(B8:P8)</f>
        <v>45</v>
      </c>
      <c r="T8" s="1" t="s">
        <v>6</v>
      </c>
      <c r="U8">
        <f>Q8/V$11*100</f>
        <v>31.03448275862069</v>
      </c>
    </row>
    <row r="9" spans="1:22" x14ac:dyDescent="0.2">
      <c r="A9" t="s">
        <v>34</v>
      </c>
      <c r="Q9" s="9">
        <f t="shared" ref="Q9:Q10" si="1">SUM(B9:P9)</f>
        <v>0</v>
      </c>
      <c r="T9" t="s">
        <v>34</v>
      </c>
      <c r="U9">
        <f t="shared" ref="U9:U10" si="2">Q9/V$11*100</f>
        <v>0</v>
      </c>
    </row>
    <row r="10" spans="1:22" x14ac:dyDescent="0.2">
      <c r="A10" t="s">
        <v>47</v>
      </c>
      <c r="B10">
        <v>5</v>
      </c>
      <c r="C10">
        <v>15</v>
      </c>
      <c r="D10">
        <v>5</v>
      </c>
      <c r="E10">
        <v>5</v>
      </c>
      <c r="F10">
        <v>5</v>
      </c>
      <c r="G10">
        <v>10</v>
      </c>
      <c r="H10">
        <v>5</v>
      </c>
      <c r="I10">
        <v>5</v>
      </c>
      <c r="J10">
        <v>10</v>
      </c>
      <c r="K10">
        <v>10</v>
      </c>
      <c r="L10">
        <v>5</v>
      </c>
      <c r="M10">
        <v>5</v>
      </c>
      <c r="N10">
        <v>5</v>
      </c>
      <c r="O10">
        <v>5</v>
      </c>
      <c r="P10">
        <v>5</v>
      </c>
      <c r="Q10" s="9">
        <f t="shared" si="1"/>
        <v>100</v>
      </c>
      <c r="T10" t="s">
        <v>47</v>
      </c>
      <c r="U10">
        <f t="shared" si="2"/>
        <v>68.965517241379317</v>
      </c>
    </row>
    <row r="11" spans="1:22" s="2" customFormat="1" x14ac:dyDescent="0.2">
      <c r="A11" s="3" t="s">
        <v>7</v>
      </c>
      <c r="B11" s="3">
        <f>(B8+B9+B10)</f>
        <v>5</v>
      </c>
      <c r="C11" s="3">
        <f t="shared" ref="C11:P11" si="3">(C8+C9+C10)</f>
        <v>15</v>
      </c>
      <c r="D11" s="3">
        <f t="shared" si="3"/>
        <v>5</v>
      </c>
      <c r="E11" s="3">
        <f t="shared" si="3"/>
        <v>10</v>
      </c>
      <c r="F11" s="3">
        <f t="shared" si="3"/>
        <v>5</v>
      </c>
      <c r="G11" s="3">
        <f t="shared" si="3"/>
        <v>10</v>
      </c>
      <c r="H11" s="3">
        <f t="shared" si="3"/>
        <v>5</v>
      </c>
      <c r="I11" s="3">
        <f t="shared" si="3"/>
        <v>5</v>
      </c>
      <c r="J11" s="3">
        <f t="shared" si="3"/>
        <v>10</v>
      </c>
      <c r="K11" s="3">
        <f t="shared" si="3"/>
        <v>10</v>
      </c>
      <c r="L11" s="3">
        <f t="shared" si="3"/>
        <v>15</v>
      </c>
      <c r="M11" s="3">
        <f t="shared" si="3"/>
        <v>5</v>
      </c>
      <c r="N11" s="3">
        <f t="shared" si="3"/>
        <v>15</v>
      </c>
      <c r="O11" s="3">
        <f t="shared" si="3"/>
        <v>5</v>
      </c>
      <c r="P11" s="3">
        <f t="shared" si="3"/>
        <v>25</v>
      </c>
      <c r="Q11" s="5">
        <f>AVERAGE(B11:P11)</f>
        <v>9.6666666666666661</v>
      </c>
      <c r="R11" s="2" t="s">
        <v>16</v>
      </c>
      <c r="T11" s="19" t="s">
        <v>7</v>
      </c>
      <c r="U11" s="2">
        <f>Q11</f>
        <v>9.6666666666666661</v>
      </c>
      <c r="V11" s="2">
        <f>SUM(Q8:Q10)</f>
        <v>145</v>
      </c>
    </row>
    <row r="12" spans="1:22" x14ac:dyDescent="0.2">
      <c r="A12" s="1" t="s">
        <v>8</v>
      </c>
      <c r="B12">
        <v>20</v>
      </c>
      <c r="C12">
        <v>20</v>
      </c>
      <c r="D12">
        <v>35</v>
      </c>
      <c r="E12">
        <v>30</v>
      </c>
      <c r="F12">
        <v>30</v>
      </c>
      <c r="G12">
        <v>30</v>
      </c>
      <c r="H12">
        <v>25</v>
      </c>
      <c r="I12">
        <v>30</v>
      </c>
      <c r="J12">
        <v>20</v>
      </c>
      <c r="K12">
        <v>20</v>
      </c>
      <c r="L12">
        <v>20</v>
      </c>
      <c r="M12">
        <v>25</v>
      </c>
      <c r="N12">
        <v>25</v>
      </c>
      <c r="O12">
        <v>20</v>
      </c>
      <c r="P12">
        <v>20</v>
      </c>
      <c r="Q12" s="9"/>
      <c r="T12" s="1" t="s">
        <v>8</v>
      </c>
    </row>
    <row r="13" spans="1:22" x14ac:dyDescent="0.2">
      <c r="A13" s="1"/>
      <c r="Q13" s="9"/>
      <c r="T13" s="1"/>
    </row>
    <row r="14" spans="1:22" x14ac:dyDescent="0.2">
      <c r="A14" s="1"/>
      <c r="Q14" s="9"/>
      <c r="T14" s="1"/>
    </row>
    <row r="15" spans="1:22" x14ac:dyDescent="0.2">
      <c r="Q15" s="9"/>
    </row>
    <row r="16" spans="1:22" s="2" customFormat="1" x14ac:dyDescent="0.2">
      <c r="A16" s="3" t="s">
        <v>7</v>
      </c>
      <c r="B16" s="3">
        <f>(B12)</f>
        <v>20</v>
      </c>
      <c r="C16" s="3">
        <f t="shared" ref="C16:P16" si="4">(C12)</f>
        <v>20</v>
      </c>
      <c r="D16" s="3">
        <f t="shared" si="4"/>
        <v>35</v>
      </c>
      <c r="E16" s="3">
        <f t="shared" si="4"/>
        <v>30</v>
      </c>
      <c r="F16" s="3">
        <f t="shared" si="4"/>
        <v>30</v>
      </c>
      <c r="G16" s="3">
        <f t="shared" si="4"/>
        <v>30</v>
      </c>
      <c r="H16" s="3">
        <f t="shared" si="4"/>
        <v>25</v>
      </c>
      <c r="I16" s="3">
        <f t="shared" si="4"/>
        <v>30</v>
      </c>
      <c r="J16" s="3">
        <f>(J12)</f>
        <v>20</v>
      </c>
      <c r="K16" s="3">
        <f t="shared" si="4"/>
        <v>20</v>
      </c>
      <c r="L16" s="3">
        <f t="shared" si="4"/>
        <v>20</v>
      </c>
      <c r="M16" s="3">
        <f t="shared" si="4"/>
        <v>25</v>
      </c>
      <c r="N16" s="3">
        <f t="shared" si="4"/>
        <v>25</v>
      </c>
      <c r="O16" s="3">
        <f t="shared" si="4"/>
        <v>20</v>
      </c>
      <c r="P16" s="3">
        <f t="shared" si="4"/>
        <v>20</v>
      </c>
      <c r="Q16" s="5">
        <f>AVERAGE(B16:P16)</f>
        <v>24.666666666666668</v>
      </c>
      <c r="R16" s="2" t="s">
        <v>16</v>
      </c>
      <c r="T16" s="19" t="s">
        <v>7</v>
      </c>
      <c r="U16" s="2">
        <f>Q16</f>
        <v>24.666666666666668</v>
      </c>
    </row>
    <row r="17" spans="1:22" x14ac:dyDescent="0.2">
      <c r="A17" s="1" t="s">
        <v>9</v>
      </c>
      <c r="B17">
        <v>15</v>
      </c>
      <c r="C17">
        <v>5</v>
      </c>
      <c r="D17">
        <v>5</v>
      </c>
      <c r="E17">
        <v>5</v>
      </c>
      <c r="F17">
        <v>5</v>
      </c>
      <c r="G17">
        <v>10</v>
      </c>
      <c r="H17">
        <v>10</v>
      </c>
      <c r="I17">
        <v>15</v>
      </c>
      <c r="J17">
        <v>10</v>
      </c>
      <c r="K17">
        <v>10</v>
      </c>
      <c r="L17">
        <v>5</v>
      </c>
      <c r="M17">
        <v>5</v>
      </c>
      <c r="N17">
        <v>15</v>
      </c>
      <c r="O17">
        <v>5</v>
      </c>
      <c r="P17">
        <v>5</v>
      </c>
      <c r="Q17" s="9">
        <f>SUM(B17:P17)</f>
        <v>125</v>
      </c>
      <c r="T17" s="1" t="s">
        <v>9</v>
      </c>
      <c r="U17">
        <f>Q17/V$23*100</f>
        <v>65.789473684210535</v>
      </c>
    </row>
    <row r="18" spans="1:22" x14ac:dyDescent="0.2">
      <c r="A18" s="2" t="s">
        <v>14</v>
      </c>
      <c r="D18">
        <v>5</v>
      </c>
      <c r="M18">
        <v>5</v>
      </c>
      <c r="Q18" s="9">
        <f>SUM(B18:P18)</f>
        <v>10</v>
      </c>
      <c r="T18" s="2" t="s">
        <v>14</v>
      </c>
      <c r="U18">
        <f>Q18/V$23*100</f>
        <v>5.2631578947368416</v>
      </c>
    </row>
    <row r="19" spans="1:22" x14ac:dyDescent="0.2">
      <c r="A19" t="s">
        <v>57</v>
      </c>
      <c r="D19">
        <v>10</v>
      </c>
      <c r="P19">
        <v>10</v>
      </c>
      <c r="Q19" s="9"/>
      <c r="R19" t="s">
        <v>42</v>
      </c>
      <c r="T19" t="s">
        <v>26</v>
      </c>
    </row>
    <row r="20" spans="1:22" x14ac:dyDescent="0.2">
      <c r="A20" t="s">
        <v>52</v>
      </c>
      <c r="Q20" s="9">
        <f t="shared" ref="Q20" si="5">SUM(B20:P20)</f>
        <v>0</v>
      </c>
      <c r="T20" t="s">
        <v>65</v>
      </c>
      <c r="U20">
        <f>Q20/V$23*100</f>
        <v>0</v>
      </c>
    </row>
    <row r="21" spans="1:22" x14ac:dyDescent="0.2">
      <c r="A21" t="s">
        <v>56</v>
      </c>
      <c r="O21">
        <v>20</v>
      </c>
      <c r="P21">
        <v>15</v>
      </c>
      <c r="Q21" s="9">
        <f>SUM(B21:P21,B19:P19)</f>
        <v>55</v>
      </c>
      <c r="T21" t="s">
        <v>66</v>
      </c>
      <c r="U21">
        <f>Q21/V$23*100</f>
        <v>28.947368421052634</v>
      </c>
    </row>
    <row r="22" spans="1:22" s="2" customFormat="1" x14ac:dyDescent="0.2">
      <c r="A22" s="3" t="s">
        <v>7</v>
      </c>
      <c r="B22" s="3">
        <f t="shared" ref="B22:O22" si="6">(B17+B18+B20+B21+B19)</f>
        <v>15</v>
      </c>
      <c r="C22" s="3">
        <f t="shared" si="6"/>
        <v>5</v>
      </c>
      <c r="D22" s="3">
        <f t="shared" si="6"/>
        <v>20</v>
      </c>
      <c r="E22" s="3">
        <f t="shared" si="6"/>
        <v>5</v>
      </c>
      <c r="F22" s="3">
        <f t="shared" si="6"/>
        <v>5</v>
      </c>
      <c r="G22" s="3">
        <f t="shared" si="6"/>
        <v>10</v>
      </c>
      <c r="H22" s="3">
        <f t="shared" si="6"/>
        <v>10</v>
      </c>
      <c r="I22" s="3">
        <f t="shared" si="6"/>
        <v>15</v>
      </c>
      <c r="J22" s="3">
        <f t="shared" si="6"/>
        <v>10</v>
      </c>
      <c r="K22" s="3">
        <f t="shared" si="6"/>
        <v>10</v>
      </c>
      <c r="L22" s="3">
        <f t="shared" si="6"/>
        <v>5</v>
      </c>
      <c r="M22" s="3">
        <f t="shared" si="6"/>
        <v>10</v>
      </c>
      <c r="N22" s="3">
        <f t="shared" si="6"/>
        <v>15</v>
      </c>
      <c r="O22" s="3">
        <f t="shared" si="6"/>
        <v>25</v>
      </c>
      <c r="P22" s="3">
        <f>(P17+P18+P20+P21+P19)</f>
        <v>30</v>
      </c>
      <c r="Q22" s="5">
        <f>AVERAGE(B22:P22)</f>
        <v>12.666666666666666</v>
      </c>
      <c r="R22" s="2" t="s">
        <v>16</v>
      </c>
      <c r="T22" t="s">
        <v>89</v>
      </c>
    </row>
    <row r="23" spans="1:22" x14ac:dyDescent="0.2">
      <c r="A23" s="1" t="s">
        <v>10</v>
      </c>
      <c r="Q23" s="11" t="s">
        <v>39</v>
      </c>
      <c r="R23" s="12" t="s">
        <v>38</v>
      </c>
      <c r="T23" s="19" t="s">
        <v>7</v>
      </c>
      <c r="U23">
        <f>Q22</f>
        <v>12.666666666666666</v>
      </c>
      <c r="V23">
        <f>SUM(Q17:Q21)</f>
        <v>190</v>
      </c>
    </row>
    <row r="24" spans="1:22" x14ac:dyDescent="0.2">
      <c r="A24" s="2" t="s">
        <v>18</v>
      </c>
      <c r="B24">
        <v>5</v>
      </c>
      <c r="C24">
        <v>4</v>
      </c>
      <c r="D24">
        <v>4</v>
      </c>
      <c r="E24">
        <v>3</v>
      </c>
      <c r="F24">
        <v>3</v>
      </c>
      <c r="G24">
        <v>4</v>
      </c>
      <c r="H24">
        <v>5</v>
      </c>
      <c r="I24">
        <v>6</v>
      </c>
      <c r="J24">
        <v>1</v>
      </c>
      <c r="K24">
        <v>2</v>
      </c>
      <c r="L24">
        <v>3</v>
      </c>
      <c r="M24">
        <v>4</v>
      </c>
      <c r="N24">
        <v>9</v>
      </c>
      <c r="O24">
        <v>3</v>
      </c>
      <c r="P24">
        <v>12</v>
      </c>
      <c r="Q24" s="9">
        <f>SUM(B24:P24)</f>
        <v>68</v>
      </c>
      <c r="R24">
        <f>Q24/Q$30*100</f>
        <v>87.179487179487182</v>
      </c>
      <c r="T24" s="1" t="s">
        <v>10</v>
      </c>
    </row>
    <row r="25" spans="1:22" x14ac:dyDescent="0.2">
      <c r="A25" s="2" t="s">
        <v>19</v>
      </c>
      <c r="B25">
        <v>1</v>
      </c>
      <c r="C25">
        <v>1</v>
      </c>
      <c r="D25">
        <v>2</v>
      </c>
      <c r="E25">
        <v>1</v>
      </c>
      <c r="F25">
        <v>1</v>
      </c>
      <c r="H25">
        <v>1</v>
      </c>
      <c r="I25">
        <v>1</v>
      </c>
      <c r="J25">
        <v>1</v>
      </c>
      <c r="Q25" s="9">
        <f t="shared" ref="Q25:Q28" si="7">SUM(B25:P25)</f>
        <v>9</v>
      </c>
      <c r="R25">
        <f t="shared" ref="R25:R29" si="8">Q25/Q$30*100</f>
        <v>11.538461538461538</v>
      </c>
      <c r="T25" s="2" t="s">
        <v>18</v>
      </c>
      <c r="U25" cm="1">
        <f t="array" ref="U25:U31">Q24:Q30</f>
        <v>68</v>
      </c>
    </row>
    <row r="26" spans="1:22" x14ac:dyDescent="0.2">
      <c r="A26" s="2" t="s">
        <v>20</v>
      </c>
      <c r="M26">
        <v>1</v>
      </c>
      <c r="Q26" s="9">
        <f t="shared" si="7"/>
        <v>1</v>
      </c>
      <c r="R26">
        <f t="shared" si="8"/>
        <v>1.2820512820512819</v>
      </c>
      <c r="T26" s="2" t="s">
        <v>19</v>
      </c>
      <c r="U26">
        <v>9</v>
      </c>
    </row>
    <row r="27" spans="1:22" x14ac:dyDescent="0.2">
      <c r="A27" s="2" t="s">
        <v>21</v>
      </c>
      <c r="Q27" s="9">
        <f t="shared" si="7"/>
        <v>0</v>
      </c>
      <c r="R27">
        <f t="shared" si="8"/>
        <v>0</v>
      </c>
      <c r="T27" s="2" t="s">
        <v>20</v>
      </c>
      <c r="U27">
        <v>1</v>
      </c>
    </row>
    <row r="28" spans="1:22" x14ac:dyDescent="0.2">
      <c r="A28" s="2" t="s">
        <v>22</v>
      </c>
      <c r="Q28" s="9">
        <f t="shared" si="7"/>
        <v>0</v>
      </c>
      <c r="R28">
        <f t="shared" si="8"/>
        <v>0</v>
      </c>
      <c r="T28" s="2" t="s">
        <v>21</v>
      </c>
      <c r="U28">
        <v>0</v>
      </c>
    </row>
    <row r="29" spans="1:22" x14ac:dyDescent="0.2">
      <c r="A29" s="2" t="s">
        <v>23</v>
      </c>
      <c r="Q29" s="9">
        <f>SUM(B29:P29)</f>
        <v>0</v>
      </c>
      <c r="R29">
        <f t="shared" si="8"/>
        <v>0</v>
      </c>
      <c r="T29" s="2" t="s">
        <v>22</v>
      </c>
      <c r="U29">
        <v>0</v>
      </c>
    </row>
    <row r="30" spans="1:22" s="2" customFormat="1" x14ac:dyDescent="0.2">
      <c r="A30" s="3" t="s">
        <v>7</v>
      </c>
      <c r="B30" s="3">
        <f t="shared" ref="B30:P30" si="9">(B23)</f>
        <v>0</v>
      </c>
      <c r="C30" s="3">
        <f t="shared" si="9"/>
        <v>0</v>
      </c>
      <c r="D30" s="3">
        <f t="shared" si="9"/>
        <v>0</v>
      </c>
      <c r="E30" s="3">
        <f t="shared" si="9"/>
        <v>0</v>
      </c>
      <c r="F30" s="3">
        <f t="shared" si="9"/>
        <v>0</v>
      </c>
      <c r="G30" s="3">
        <f t="shared" si="9"/>
        <v>0</v>
      </c>
      <c r="H30" s="3">
        <f t="shared" si="9"/>
        <v>0</v>
      </c>
      <c r="I30" s="3">
        <f t="shared" si="9"/>
        <v>0</v>
      </c>
      <c r="J30" s="3">
        <f t="shared" si="9"/>
        <v>0</v>
      </c>
      <c r="K30" s="3">
        <f t="shared" si="9"/>
        <v>0</v>
      </c>
      <c r="L30" s="3">
        <f t="shared" si="9"/>
        <v>0</v>
      </c>
      <c r="M30" s="3">
        <f t="shared" si="9"/>
        <v>0</v>
      </c>
      <c r="N30" s="3">
        <f t="shared" si="9"/>
        <v>0</v>
      </c>
      <c r="O30" s="3">
        <f t="shared" si="9"/>
        <v>0</v>
      </c>
      <c r="P30" s="3">
        <f t="shared" si="9"/>
        <v>0</v>
      </c>
      <c r="Q30" s="6">
        <f>SUM(Q24:Q29)</f>
        <v>78</v>
      </c>
      <c r="R30" s="2" t="s">
        <v>17</v>
      </c>
      <c r="T30" s="2" t="s">
        <v>23</v>
      </c>
      <c r="U30" s="2">
        <v>0</v>
      </c>
    </row>
    <row r="31" spans="1:22" x14ac:dyDescent="0.2">
      <c r="Q31" s="9"/>
      <c r="T31" s="3" t="s">
        <v>7</v>
      </c>
      <c r="U31">
        <v>78</v>
      </c>
    </row>
    <row r="32" spans="1:22" s="1" customFormat="1" x14ac:dyDescent="0.2">
      <c r="A32" s="4" t="s">
        <v>11</v>
      </c>
      <c r="B32" s="4">
        <f t="shared" ref="B32:P32" si="10">(B22+B16+B11+B7)</f>
        <v>100</v>
      </c>
      <c r="C32" s="4">
        <f t="shared" si="10"/>
        <v>100</v>
      </c>
      <c r="D32" s="4">
        <f t="shared" si="10"/>
        <v>100</v>
      </c>
      <c r="E32" s="4">
        <f t="shared" si="10"/>
        <v>100</v>
      </c>
      <c r="F32" s="4">
        <f t="shared" si="10"/>
        <v>100</v>
      </c>
      <c r="G32" s="4">
        <f t="shared" si="10"/>
        <v>100</v>
      </c>
      <c r="H32" s="4">
        <f t="shared" si="10"/>
        <v>100</v>
      </c>
      <c r="I32" s="4">
        <f t="shared" si="10"/>
        <v>100</v>
      </c>
      <c r="J32" s="4">
        <f t="shared" si="10"/>
        <v>100</v>
      </c>
      <c r="K32" s="4">
        <f t="shared" si="10"/>
        <v>100</v>
      </c>
      <c r="L32" s="4">
        <f t="shared" si="10"/>
        <v>100</v>
      </c>
      <c r="M32" s="4">
        <f t="shared" si="10"/>
        <v>100</v>
      </c>
      <c r="N32" s="4">
        <f t="shared" si="10"/>
        <v>100</v>
      </c>
      <c r="O32" s="4">
        <f t="shared" si="10"/>
        <v>100</v>
      </c>
      <c r="P32" s="4">
        <f t="shared" si="10"/>
        <v>100</v>
      </c>
      <c r="Q32" s="7">
        <f>SUM(Q22+Q16+Q11+Q7)</f>
        <v>100</v>
      </c>
    </row>
    <row r="36" spans="1:3" x14ac:dyDescent="0.2">
      <c r="A36" s="4" t="s">
        <v>51</v>
      </c>
    </row>
    <row r="37" spans="1:3" x14ac:dyDescent="0.2">
      <c r="A37" s="1" t="s">
        <v>12</v>
      </c>
      <c r="B37" t="s">
        <v>24</v>
      </c>
      <c r="C37" t="s">
        <v>0</v>
      </c>
    </row>
    <row r="38" spans="1:3" x14ac:dyDescent="0.2">
      <c r="A38" t="s">
        <v>2</v>
      </c>
      <c r="B38">
        <v>4</v>
      </c>
      <c r="C38">
        <f>B38/B$42*100</f>
        <v>13.333333333333334</v>
      </c>
    </row>
    <row r="39" spans="1:3" x14ac:dyDescent="0.2">
      <c r="A39" t="s">
        <v>3</v>
      </c>
      <c r="B39">
        <v>12</v>
      </c>
      <c r="C39">
        <f t="shared" ref="C39:C42" si="11">B39/B$42*100</f>
        <v>40</v>
      </c>
    </row>
    <row r="40" spans="1:3" x14ac:dyDescent="0.2">
      <c r="A40" t="s">
        <v>4</v>
      </c>
      <c r="B40">
        <v>12</v>
      </c>
      <c r="C40">
        <f t="shared" si="11"/>
        <v>40</v>
      </c>
    </row>
    <row r="41" spans="1:3" x14ac:dyDescent="0.2">
      <c r="A41" t="s">
        <v>5</v>
      </c>
      <c r="B41">
        <v>2</v>
      </c>
      <c r="C41">
        <f t="shared" si="11"/>
        <v>6.666666666666667</v>
      </c>
    </row>
    <row r="42" spans="1:3" x14ac:dyDescent="0.2">
      <c r="A42" s="1" t="s">
        <v>13</v>
      </c>
      <c r="B42">
        <f>(B41+B40+B39+B38)</f>
        <v>30</v>
      </c>
      <c r="C42">
        <f t="shared" si="11"/>
        <v>100</v>
      </c>
    </row>
    <row r="44" spans="1:3" x14ac:dyDescent="0.2">
      <c r="A44" s="1" t="s">
        <v>53</v>
      </c>
    </row>
    <row r="45" spans="1:3" x14ac:dyDescent="0.2">
      <c r="A45" t="s">
        <v>54</v>
      </c>
    </row>
    <row r="46" spans="1:3" x14ac:dyDescent="0.2">
      <c r="A46" t="s">
        <v>55</v>
      </c>
    </row>
  </sheetData>
  <conditionalFormatting sqref="B42">
    <cfRule type="cellIs" dxfId="35" priority="1" operator="lessThan">
      <formula>30</formula>
    </cfRule>
    <cfRule type="cellIs" dxfId="34" priority="2" operator="equal">
      <formula>30</formula>
    </cfRule>
  </conditionalFormatting>
  <conditionalFormatting sqref="B32:P32">
    <cfRule type="cellIs" dxfId="33" priority="3" operator="lessThan">
      <formula>100</formula>
    </cfRule>
    <cfRule type="cellIs" dxfId="32" priority="4" operator="equal">
      <formula>100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E838-5AD7-D24F-8F3E-0757E6870D9D}">
  <sheetPr>
    <tabColor rgb="FF92D050"/>
  </sheetPr>
  <dimension ref="A1:W47"/>
  <sheetViews>
    <sheetView workbookViewId="0">
      <selection activeCell="U8" sqref="U8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" bestFit="1" customWidth="1"/>
  </cols>
  <sheetData>
    <row r="1" spans="1:22" x14ac:dyDescent="0.2">
      <c r="A1" s="4" t="s">
        <v>58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</row>
    <row r="2" spans="1:22" x14ac:dyDescent="0.2">
      <c r="A2" s="1" t="s">
        <v>1</v>
      </c>
      <c r="B2">
        <v>40</v>
      </c>
      <c r="C2">
        <v>30</v>
      </c>
      <c r="D2">
        <v>40</v>
      </c>
      <c r="E2">
        <v>25</v>
      </c>
      <c r="F2">
        <v>40</v>
      </c>
      <c r="G2">
        <v>40</v>
      </c>
      <c r="H2">
        <v>40</v>
      </c>
      <c r="I2">
        <v>40</v>
      </c>
      <c r="J2">
        <v>45</v>
      </c>
      <c r="K2">
        <v>40</v>
      </c>
      <c r="L2">
        <v>40</v>
      </c>
      <c r="M2">
        <v>30</v>
      </c>
      <c r="N2">
        <v>35</v>
      </c>
      <c r="O2">
        <v>30</v>
      </c>
      <c r="P2">
        <v>30</v>
      </c>
      <c r="Q2" s="8"/>
      <c r="T2" s="1" t="s">
        <v>1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</row>
    <row r="7" spans="1:22" s="2" customFormat="1" x14ac:dyDescent="0.2">
      <c r="A7" s="3" t="s">
        <v>7</v>
      </c>
      <c r="B7" s="3">
        <f>(B2+B3)</f>
        <v>40</v>
      </c>
      <c r="C7" s="3">
        <f t="shared" ref="C7:P7" si="0">(C2+C3)</f>
        <v>30</v>
      </c>
      <c r="D7" s="3">
        <f t="shared" si="0"/>
        <v>40</v>
      </c>
      <c r="E7" s="3">
        <f t="shared" si="0"/>
        <v>25</v>
      </c>
      <c r="F7" s="3">
        <f t="shared" si="0"/>
        <v>40</v>
      </c>
      <c r="G7" s="3">
        <f t="shared" si="0"/>
        <v>40</v>
      </c>
      <c r="H7" s="3">
        <f t="shared" si="0"/>
        <v>40</v>
      </c>
      <c r="I7" s="3">
        <f t="shared" si="0"/>
        <v>40</v>
      </c>
      <c r="J7" s="3">
        <f t="shared" si="0"/>
        <v>45</v>
      </c>
      <c r="K7" s="3">
        <f t="shared" si="0"/>
        <v>40</v>
      </c>
      <c r="L7" s="3">
        <f t="shared" si="0"/>
        <v>40</v>
      </c>
      <c r="M7" s="3">
        <f t="shared" si="0"/>
        <v>30</v>
      </c>
      <c r="N7" s="3">
        <f t="shared" si="0"/>
        <v>35</v>
      </c>
      <c r="O7" s="3">
        <f t="shared" si="0"/>
        <v>30</v>
      </c>
      <c r="P7" s="3">
        <f t="shared" si="0"/>
        <v>30</v>
      </c>
      <c r="Q7" s="5">
        <f>AVERAGE(B7:P7)</f>
        <v>36.333333333333336</v>
      </c>
      <c r="R7" s="2" t="s">
        <v>16</v>
      </c>
      <c r="T7" s="19" t="s">
        <v>7</v>
      </c>
      <c r="U7" s="2">
        <f>Q7</f>
        <v>36.333333333333336</v>
      </c>
    </row>
    <row r="8" spans="1:22" x14ac:dyDescent="0.2">
      <c r="A8" s="1" t="s">
        <v>6</v>
      </c>
      <c r="B8">
        <v>10</v>
      </c>
      <c r="C8">
        <v>10</v>
      </c>
      <c r="D8">
        <v>5</v>
      </c>
      <c r="E8">
        <v>20</v>
      </c>
      <c r="F8">
        <v>10</v>
      </c>
      <c r="G8">
        <v>10</v>
      </c>
      <c r="H8">
        <v>20</v>
      </c>
      <c r="I8">
        <v>5</v>
      </c>
      <c r="J8">
        <v>15</v>
      </c>
      <c r="K8">
        <v>15</v>
      </c>
      <c r="L8">
        <v>10</v>
      </c>
      <c r="M8">
        <v>5</v>
      </c>
      <c r="N8">
        <v>5</v>
      </c>
      <c r="O8">
        <v>5</v>
      </c>
      <c r="P8">
        <v>15</v>
      </c>
      <c r="Q8" s="9">
        <f>SUM(B8:P8)</f>
        <v>160</v>
      </c>
      <c r="T8" s="1" t="s">
        <v>6</v>
      </c>
      <c r="U8">
        <f>Q8/V$11*100</f>
        <v>47.058823529411761</v>
      </c>
    </row>
    <row r="9" spans="1:22" x14ac:dyDescent="0.2">
      <c r="A9" t="s">
        <v>34</v>
      </c>
      <c r="Q9" s="9">
        <f t="shared" ref="Q9:Q10" si="1">SUM(B9:P9)</f>
        <v>0</v>
      </c>
      <c r="T9" t="s">
        <v>34</v>
      </c>
      <c r="U9">
        <f>Q9/V$11*100</f>
        <v>0</v>
      </c>
    </row>
    <row r="10" spans="1:22" x14ac:dyDescent="0.2">
      <c r="A10" t="s">
        <v>47</v>
      </c>
      <c r="B10">
        <v>20</v>
      </c>
      <c r="C10">
        <v>15</v>
      </c>
      <c r="D10">
        <v>15</v>
      </c>
      <c r="E10">
        <v>10</v>
      </c>
      <c r="F10">
        <v>10</v>
      </c>
      <c r="G10">
        <v>10</v>
      </c>
      <c r="H10">
        <v>10</v>
      </c>
      <c r="I10">
        <v>15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15</v>
      </c>
      <c r="P10">
        <v>10</v>
      </c>
      <c r="Q10" s="9">
        <f t="shared" si="1"/>
        <v>180</v>
      </c>
      <c r="T10" t="s">
        <v>47</v>
      </c>
      <c r="U10">
        <f>Q10/V$11*100</f>
        <v>52.941176470588239</v>
      </c>
    </row>
    <row r="11" spans="1:22" s="2" customFormat="1" x14ac:dyDescent="0.2">
      <c r="A11" s="3" t="s">
        <v>7</v>
      </c>
      <c r="B11" s="3">
        <f>(B8+B9+B10)</f>
        <v>30</v>
      </c>
      <c r="C11" s="3">
        <f t="shared" ref="C11:P11" si="2">(C8+C9+C10)</f>
        <v>25</v>
      </c>
      <c r="D11" s="3">
        <f t="shared" si="2"/>
        <v>20</v>
      </c>
      <c r="E11" s="3">
        <f t="shared" si="2"/>
        <v>30</v>
      </c>
      <c r="F11" s="3">
        <f t="shared" si="2"/>
        <v>20</v>
      </c>
      <c r="G11" s="3">
        <f t="shared" si="2"/>
        <v>20</v>
      </c>
      <c r="H11" s="3">
        <f>(H8+H9+H10)</f>
        <v>30</v>
      </c>
      <c r="I11" s="3">
        <f t="shared" si="2"/>
        <v>20</v>
      </c>
      <c r="J11" s="3">
        <f t="shared" si="2"/>
        <v>25</v>
      </c>
      <c r="K11" s="3">
        <f t="shared" si="2"/>
        <v>25</v>
      </c>
      <c r="L11" s="3">
        <f t="shared" si="2"/>
        <v>20</v>
      </c>
      <c r="M11" s="3">
        <f t="shared" si="2"/>
        <v>15</v>
      </c>
      <c r="N11" s="3">
        <f t="shared" si="2"/>
        <v>15</v>
      </c>
      <c r="O11" s="3">
        <f t="shared" si="2"/>
        <v>20</v>
      </c>
      <c r="P11" s="3">
        <f t="shared" si="2"/>
        <v>25</v>
      </c>
      <c r="Q11" s="5">
        <f>AVERAGE(B11:P11)</f>
        <v>22.666666666666668</v>
      </c>
      <c r="R11" s="2" t="s">
        <v>16</v>
      </c>
      <c r="T11" s="19" t="s">
        <v>7</v>
      </c>
      <c r="U11" s="2">
        <f>Q11</f>
        <v>22.666666666666668</v>
      </c>
      <c r="V11" s="2">
        <f>SUM(Q8:Q10)</f>
        <v>340</v>
      </c>
    </row>
    <row r="12" spans="1:22" x14ac:dyDescent="0.2">
      <c r="A12" s="1" t="s">
        <v>8</v>
      </c>
      <c r="B12">
        <v>15</v>
      </c>
      <c r="C12">
        <v>25</v>
      </c>
      <c r="D12">
        <v>30</v>
      </c>
      <c r="E12">
        <v>30</v>
      </c>
      <c r="F12">
        <v>30</v>
      </c>
      <c r="G12">
        <v>30</v>
      </c>
      <c r="H12">
        <v>25</v>
      </c>
      <c r="I12">
        <v>25</v>
      </c>
      <c r="J12">
        <v>20</v>
      </c>
      <c r="K12">
        <v>20</v>
      </c>
      <c r="L12">
        <v>25</v>
      </c>
      <c r="M12">
        <v>35</v>
      </c>
      <c r="N12">
        <v>25</v>
      </c>
      <c r="O12">
        <v>25</v>
      </c>
      <c r="P12">
        <v>20</v>
      </c>
      <c r="Q12" s="9"/>
      <c r="T12" s="1" t="s">
        <v>8</v>
      </c>
    </row>
    <row r="13" spans="1:22" x14ac:dyDescent="0.2">
      <c r="A13" s="1"/>
      <c r="Q13" s="9"/>
      <c r="T13" s="1"/>
    </row>
    <row r="14" spans="1:22" x14ac:dyDescent="0.2">
      <c r="A14" s="1"/>
      <c r="Q14" s="9"/>
      <c r="T14" s="1"/>
    </row>
    <row r="15" spans="1:22" x14ac:dyDescent="0.2">
      <c r="Q15" s="9"/>
    </row>
    <row r="16" spans="1:22" s="2" customFormat="1" x14ac:dyDescent="0.2">
      <c r="A16" s="3" t="s">
        <v>7</v>
      </c>
      <c r="B16" s="3">
        <f>(B12)</f>
        <v>15</v>
      </c>
      <c r="C16" s="3">
        <f t="shared" ref="C16:P16" si="3">(C12)</f>
        <v>25</v>
      </c>
      <c r="D16" s="3">
        <f t="shared" si="3"/>
        <v>30</v>
      </c>
      <c r="E16" s="3">
        <f t="shared" si="3"/>
        <v>30</v>
      </c>
      <c r="F16" s="3">
        <f t="shared" si="3"/>
        <v>30</v>
      </c>
      <c r="G16" s="3">
        <f t="shared" si="3"/>
        <v>30</v>
      </c>
      <c r="H16" s="3">
        <f t="shared" si="3"/>
        <v>25</v>
      </c>
      <c r="I16" s="3">
        <f t="shared" si="3"/>
        <v>25</v>
      </c>
      <c r="J16" s="3">
        <f>(J12)</f>
        <v>20</v>
      </c>
      <c r="K16" s="3">
        <f t="shared" si="3"/>
        <v>20</v>
      </c>
      <c r="L16" s="3">
        <f t="shared" si="3"/>
        <v>25</v>
      </c>
      <c r="M16" s="3">
        <f t="shared" si="3"/>
        <v>35</v>
      </c>
      <c r="N16" s="3">
        <f t="shared" si="3"/>
        <v>25</v>
      </c>
      <c r="O16" s="3">
        <f t="shared" si="3"/>
        <v>25</v>
      </c>
      <c r="P16" s="3">
        <f t="shared" si="3"/>
        <v>20</v>
      </c>
      <c r="Q16" s="5">
        <f>AVERAGE(B16:P16)</f>
        <v>25.333333333333332</v>
      </c>
      <c r="R16" s="2" t="s">
        <v>16</v>
      </c>
      <c r="T16" s="19" t="s">
        <v>7</v>
      </c>
      <c r="U16" s="2">
        <f>Q16</f>
        <v>25.333333333333332</v>
      </c>
    </row>
    <row r="17" spans="1:23" x14ac:dyDescent="0.2">
      <c r="A17" s="1" t="s">
        <v>9</v>
      </c>
      <c r="B17">
        <v>5</v>
      </c>
      <c r="C17">
        <v>10</v>
      </c>
      <c r="D17">
        <v>5</v>
      </c>
      <c r="E17">
        <v>5</v>
      </c>
      <c r="F17">
        <v>5</v>
      </c>
      <c r="G17">
        <v>5</v>
      </c>
      <c r="I17">
        <v>5</v>
      </c>
      <c r="J17">
        <v>5</v>
      </c>
      <c r="K17">
        <v>10</v>
      </c>
      <c r="L17">
        <v>10</v>
      </c>
      <c r="M17">
        <v>5</v>
      </c>
      <c r="N17">
        <v>10</v>
      </c>
      <c r="O17">
        <v>15</v>
      </c>
      <c r="P17">
        <v>15</v>
      </c>
      <c r="Q17" s="9">
        <f>SUM(B17:P17)</f>
        <v>110</v>
      </c>
      <c r="T17" s="1" t="s">
        <v>9</v>
      </c>
      <c r="U17">
        <f>Q17/V$23*100</f>
        <v>46.808510638297875</v>
      </c>
    </row>
    <row r="18" spans="1:23" x14ac:dyDescent="0.2">
      <c r="A18" s="2" t="s">
        <v>14</v>
      </c>
      <c r="B18">
        <v>10</v>
      </c>
      <c r="C18">
        <v>10</v>
      </c>
      <c r="D18">
        <v>5</v>
      </c>
      <c r="E18">
        <v>10</v>
      </c>
      <c r="F18">
        <v>5</v>
      </c>
      <c r="G18">
        <v>5</v>
      </c>
      <c r="H18">
        <v>5</v>
      </c>
      <c r="I18">
        <v>10</v>
      </c>
      <c r="J18">
        <v>5</v>
      </c>
      <c r="K18">
        <v>5</v>
      </c>
      <c r="L18">
        <v>5</v>
      </c>
      <c r="M18">
        <v>5</v>
      </c>
      <c r="N18">
        <v>10</v>
      </c>
      <c r="O18">
        <v>10</v>
      </c>
      <c r="P18">
        <v>10</v>
      </c>
      <c r="Q18" s="9">
        <f t="shared" ref="Q18:Q21" si="4">SUM(B18:P18)</f>
        <v>110</v>
      </c>
      <c r="T18" s="2" t="s">
        <v>14</v>
      </c>
      <c r="U18">
        <f>Q18/V$23*100</f>
        <v>46.808510638297875</v>
      </c>
    </row>
    <row r="19" spans="1:23" x14ac:dyDescent="0.2">
      <c r="A19" t="s">
        <v>26</v>
      </c>
      <c r="Q19" s="9">
        <f t="shared" si="4"/>
        <v>0</v>
      </c>
      <c r="R19" t="s">
        <v>42</v>
      </c>
      <c r="T19" t="s">
        <v>26</v>
      </c>
    </row>
    <row r="20" spans="1:23" x14ac:dyDescent="0.2">
      <c r="A20" t="s">
        <v>60</v>
      </c>
      <c r="M20">
        <v>10</v>
      </c>
      <c r="Q20" s="9">
        <f t="shared" si="4"/>
        <v>10</v>
      </c>
      <c r="T20" t="s">
        <v>65</v>
      </c>
    </row>
    <row r="21" spans="1:23" x14ac:dyDescent="0.2">
      <c r="A21" t="s">
        <v>61</v>
      </c>
      <c r="N21">
        <v>5</v>
      </c>
      <c r="Q21" s="9">
        <f t="shared" si="4"/>
        <v>5</v>
      </c>
      <c r="T21" t="s">
        <v>66</v>
      </c>
      <c r="U21">
        <f>Q20/V$23*100</f>
        <v>4.2553191489361701</v>
      </c>
    </row>
    <row r="22" spans="1:23" s="2" customFormat="1" x14ac:dyDescent="0.2">
      <c r="A22" s="3" t="s">
        <v>7</v>
      </c>
      <c r="B22" s="3">
        <f t="shared" ref="B22:L22" si="5">(B17+B18)</f>
        <v>15</v>
      </c>
      <c r="C22" s="3">
        <f t="shared" si="5"/>
        <v>20</v>
      </c>
      <c r="D22" s="3">
        <f t="shared" si="5"/>
        <v>10</v>
      </c>
      <c r="E22" s="3">
        <f t="shared" si="5"/>
        <v>15</v>
      </c>
      <c r="F22" s="3">
        <f t="shared" si="5"/>
        <v>10</v>
      </c>
      <c r="G22" s="3">
        <f t="shared" si="5"/>
        <v>10</v>
      </c>
      <c r="H22" s="3">
        <f t="shared" si="5"/>
        <v>5</v>
      </c>
      <c r="I22" s="3">
        <f t="shared" si="5"/>
        <v>15</v>
      </c>
      <c r="J22" s="3">
        <f t="shared" si="5"/>
        <v>10</v>
      </c>
      <c r="K22" s="3">
        <f t="shared" si="5"/>
        <v>15</v>
      </c>
      <c r="L22" s="3">
        <f t="shared" si="5"/>
        <v>15</v>
      </c>
      <c r="M22" s="3">
        <f>(M17+M18+M20)</f>
        <v>20</v>
      </c>
      <c r="N22" s="3">
        <f>(N17+N18+N21)</f>
        <v>25</v>
      </c>
      <c r="O22" s="3">
        <f>(O17+O18)</f>
        <v>25</v>
      </c>
      <c r="P22" s="3">
        <f>(P17+P18)</f>
        <v>25</v>
      </c>
      <c r="Q22" s="5">
        <f>AVERAGE(B22:P22)</f>
        <v>15.666666666666666</v>
      </c>
      <c r="R22" s="2" t="s">
        <v>16</v>
      </c>
      <c r="T22" t="s">
        <v>89</v>
      </c>
      <c r="U22">
        <f>Q21/V$23*100</f>
        <v>2.1276595744680851</v>
      </c>
    </row>
    <row r="23" spans="1:23" x14ac:dyDescent="0.2">
      <c r="A23" s="1" t="s">
        <v>10</v>
      </c>
      <c r="Q23" s="11" t="s">
        <v>39</v>
      </c>
      <c r="R23" s="12" t="s">
        <v>38</v>
      </c>
      <c r="T23" s="19" t="s">
        <v>7</v>
      </c>
      <c r="U23">
        <f>Q22</f>
        <v>15.666666666666666</v>
      </c>
      <c r="V23">
        <f>SUM(Q17:Q21)</f>
        <v>235</v>
      </c>
      <c r="W23" s="2"/>
    </row>
    <row r="24" spans="1:23" x14ac:dyDescent="0.2">
      <c r="A24" s="2" t="s">
        <v>18</v>
      </c>
      <c r="B24">
        <v>15</v>
      </c>
      <c r="C24">
        <v>5</v>
      </c>
      <c r="D24">
        <v>13</v>
      </c>
      <c r="E24">
        <v>13</v>
      </c>
      <c r="F24">
        <v>15</v>
      </c>
      <c r="G24">
        <v>10</v>
      </c>
      <c r="H24">
        <v>6</v>
      </c>
      <c r="I24">
        <v>7</v>
      </c>
      <c r="J24">
        <v>8</v>
      </c>
      <c r="K24">
        <v>11</v>
      </c>
      <c r="L24">
        <v>12</v>
      </c>
      <c r="M24">
        <v>5</v>
      </c>
      <c r="N24">
        <v>6</v>
      </c>
      <c r="O24">
        <v>9</v>
      </c>
      <c r="P24">
        <v>9</v>
      </c>
      <c r="Q24" s="9">
        <f>SUM(B24:P24)</f>
        <v>144</v>
      </c>
      <c r="R24">
        <f>Q24/Q$30*100</f>
        <v>94.117647058823522</v>
      </c>
      <c r="T24" s="1" t="s">
        <v>10</v>
      </c>
    </row>
    <row r="25" spans="1:23" x14ac:dyDescent="0.2">
      <c r="A25" s="2" t="s">
        <v>19</v>
      </c>
      <c r="B25">
        <v>1</v>
      </c>
      <c r="F25">
        <v>1</v>
      </c>
      <c r="G25">
        <v>3</v>
      </c>
      <c r="H25">
        <v>1</v>
      </c>
      <c r="I25">
        <v>1</v>
      </c>
      <c r="K25">
        <v>1</v>
      </c>
      <c r="P25">
        <v>1</v>
      </c>
      <c r="Q25" s="9">
        <f t="shared" ref="Q25:Q28" si="6">SUM(B25:P25)</f>
        <v>9</v>
      </c>
      <c r="R25">
        <f t="shared" ref="R25:R29" si="7">Q25/Q$30*100</f>
        <v>5.8823529411764701</v>
      </c>
      <c r="T25" s="2" t="s">
        <v>18</v>
      </c>
      <c r="U25" cm="1">
        <f t="array" ref="U25:U31">Q24:Q30</f>
        <v>144</v>
      </c>
    </row>
    <row r="26" spans="1:23" x14ac:dyDescent="0.2">
      <c r="A26" s="2" t="s">
        <v>20</v>
      </c>
      <c r="Q26" s="9">
        <f t="shared" si="6"/>
        <v>0</v>
      </c>
      <c r="R26">
        <f t="shared" si="7"/>
        <v>0</v>
      </c>
      <c r="T26" s="2" t="s">
        <v>19</v>
      </c>
      <c r="U26">
        <v>9</v>
      </c>
    </row>
    <row r="27" spans="1:23" x14ac:dyDescent="0.2">
      <c r="A27" s="2" t="s">
        <v>21</v>
      </c>
      <c r="Q27" s="9">
        <f t="shared" si="6"/>
        <v>0</v>
      </c>
      <c r="R27">
        <f t="shared" si="7"/>
        <v>0</v>
      </c>
      <c r="T27" s="2" t="s">
        <v>20</v>
      </c>
      <c r="U27">
        <v>0</v>
      </c>
    </row>
    <row r="28" spans="1:23" x14ac:dyDescent="0.2">
      <c r="A28" s="2" t="s">
        <v>22</v>
      </c>
      <c r="Q28" s="9">
        <f t="shared" si="6"/>
        <v>0</v>
      </c>
      <c r="R28">
        <f t="shared" si="7"/>
        <v>0</v>
      </c>
      <c r="T28" s="2" t="s">
        <v>21</v>
      </c>
      <c r="U28">
        <v>0</v>
      </c>
    </row>
    <row r="29" spans="1:23" x14ac:dyDescent="0.2">
      <c r="A29" s="2" t="s">
        <v>23</v>
      </c>
      <c r="Q29" s="9">
        <f>SUM(B29:P29)</f>
        <v>0</v>
      </c>
      <c r="R29">
        <f t="shared" si="7"/>
        <v>0</v>
      </c>
      <c r="T29" s="2" t="s">
        <v>22</v>
      </c>
      <c r="U29">
        <v>0</v>
      </c>
    </row>
    <row r="30" spans="1:23" s="2" customFormat="1" x14ac:dyDescent="0.2">
      <c r="A30" s="3" t="s">
        <v>7</v>
      </c>
      <c r="B30" s="3">
        <f t="shared" ref="B30:P30" si="8">(B23)</f>
        <v>0</v>
      </c>
      <c r="C30" s="3">
        <f t="shared" si="8"/>
        <v>0</v>
      </c>
      <c r="D30" s="3">
        <f t="shared" si="8"/>
        <v>0</v>
      </c>
      <c r="E30" s="3">
        <f t="shared" si="8"/>
        <v>0</v>
      </c>
      <c r="F30" s="3">
        <f t="shared" si="8"/>
        <v>0</v>
      </c>
      <c r="G30" s="3">
        <f t="shared" si="8"/>
        <v>0</v>
      </c>
      <c r="H30" s="3">
        <f t="shared" si="8"/>
        <v>0</v>
      </c>
      <c r="I30" s="3">
        <f t="shared" si="8"/>
        <v>0</v>
      </c>
      <c r="J30" s="3">
        <f t="shared" si="8"/>
        <v>0</v>
      </c>
      <c r="K30" s="3">
        <f t="shared" si="8"/>
        <v>0</v>
      </c>
      <c r="L30" s="3">
        <f t="shared" si="8"/>
        <v>0</v>
      </c>
      <c r="M30" s="3">
        <f t="shared" si="8"/>
        <v>0</v>
      </c>
      <c r="N30" s="3">
        <f t="shared" si="8"/>
        <v>0</v>
      </c>
      <c r="O30" s="3">
        <f t="shared" si="8"/>
        <v>0</v>
      </c>
      <c r="P30" s="3">
        <f t="shared" si="8"/>
        <v>0</v>
      </c>
      <c r="Q30" s="6">
        <f>SUM(Q24:Q29)</f>
        <v>153</v>
      </c>
      <c r="R30" s="2" t="s">
        <v>17</v>
      </c>
      <c r="T30" s="2" t="s">
        <v>23</v>
      </c>
      <c r="U30" s="2">
        <v>0</v>
      </c>
    </row>
    <row r="31" spans="1:23" x14ac:dyDescent="0.2">
      <c r="Q31" s="9"/>
      <c r="T31" s="3" t="s">
        <v>7</v>
      </c>
      <c r="U31">
        <v>153</v>
      </c>
    </row>
    <row r="32" spans="1:23" s="1" customFormat="1" x14ac:dyDescent="0.2">
      <c r="A32" s="4" t="s">
        <v>11</v>
      </c>
      <c r="B32" s="4">
        <f>(B22+B16+B11+B7)</f>
        <v>100</v>
      </c>
      <c r="C32" s="4">
        <f t="shared" ref="C32:P32" si="9">(C22+C16+C11+C7)</f>
        <v>100</v>
      </c>
      <c r="D32" s="4">
        <f t="shared" si="9"/>
        <v>100</v>
      </c>
      <c r="E32" s="4">
        <f t="shared" si="9"/>
        <v>100</v>
      </c>
      <c r="F32" s="4">
        <f t="shared" si="9"/>
        <v>100</v>
      </c>
      <c r="G32" s="4">
        <f t="shared" si="9"/>
        <v>100</v>
      </c>
      <c r="H32" s="4">
        <f t="shared" si="9"/>
        <v>100</v>
      </c>
      <c r="I32" s="4">
        <f t="shared" si="9"/>
        <v>100</v>
      </c>
      <c r="J32" s="4">
        <f t="shared" si="9"/>
        <v>100</v>
      </c>
      <c r="K32" s="4">
        <f t="shared" si="9"/>
        <v>100</v>
      </c>
      <c r="L32" s="4">
        <f t="shared" si="9"/>
        <v>100</v>
      </c>
      <c r="M32" s="4">
        <f t="shared" si="9"/>
        <v>100</v>
      </c>
      <c r="N32" s="4">
        <f t="shared" si="9"/>
        <v>100</v>
      </c>
      <c r="O32" s="4">
        <f t="shared" si="9"/>
        <v>100</v>
      </c>
      <c r="P32" s="4">
        <f t="shared" si="9"/>
        <v>100</v>
      </c>
      <c r="Q32" s="7">
        <f>SUM(Q22+Q16+Q11+Q7)</f>
        <v>100</v>
      </c>
    </row>
    <row r="36" spans="1:3" x14ac:dyDescent="0.2">
      <c r="A36" s="4" t="s">
        <v>58</v>
      </c>
    </row>
    <row r="37" spans="1:3" x14ac:dyDescent="0.2">
      <c r="A37" s="1" t="s">
        <v>12</v>
      </c>
      <c r="B37" t="s">
        <v>24</v>
      </c>
      <c r="C37" t="s">
        <v>0</v>
      </c>
    </row>
    <row r="38" spans="1:3" x14ac:dyDescent="0.2">
      <c r="A38" t="s">
        <v>2</v>
      </c>
      <c r="B38">
        <v>10</v>
      </c>
      <c r="C38">
        <f>B38/B$42*100</f>
        <v>33.333333333333329</v>
      </c>
    </row>
    <row r="39" spans="1:3" x14ac:dyDescent="0.2">
      <c r="A39" t="s">
        <v>3</v>
      </c>
      <c r="B39">
        <v>15</v>
      </c>
      <c r="C39">
        <f t="shared" ref="C39:C42" si="10">B39/B$42*100</f>
        <v>50</v>
      </c>
    </row>
    <row r="40" spans="1:3" x14ac:dyDescent="0.2">
      <c r="A40" t="s">
        <v>4</v>
      </c>
      <c r="B40">
        <v>1</v>
      </c>
      <c r="C40">
        <f t="shared" si="10"/>
        <v>3.3333333333333335</v>
      </c>
    </row>
    <row r="41" spans="1:3" x14ac:dyDescent="0.2">
      <c r="A41" t="s">
        <v>5</v>
      </c>
      <c r="B41">
        <v>4</v>
      </c>
      <c r="C41">
        <f t="shared" si="10"/>
        <v>13.333333333333334</v>
      </c>
    </row>
    <row r="42" spans="1:3" x14ac:dyDescent="0.2">
      <c r="A42" s="1" t="s">
        <v>13</v>
      </c>
      <c r="B42">
        <f>(B41+B40+B39+B38)</f>
        <v>30</v>
      </c>
      <c r="C42">
        <f t="shared" si="10"/>
        <v>100</v>
      </c>
    </row>
    <row r="45" spans="1:3" x14ac:dyDescent="0.2">
      <c r="A45" t="s">
        <v>59</v>
      </c>
    </row>
    <row r="46" spans="1:3" x14ac:dyDescent="0.2">
      <c r="B46" t="s">
        <v>62</v>
      </c>
    </row>
    <row r="47" spans="1:3" x14ac:dyDescent="0.2">
      <c r="B47" t="s">
        <v>63</v>
      </c>
    </row>
  </sheetData>
  <conditionalFormatting sqref="B42">
    <cfRule type="cellIs" dxfId="31" priority="1" operator="lessThan">
      <formula>30</formula>
    </cfRule>
    <cfRule type="cellIs" dxfId="30" priority="2" operator="equal">
      <formula>30</formula>
    </cfRule>
  </conditionalFormatting>
  <conditionalFormatting sqref="B32:P32">
    <cfRule type="cellIs" dxfId="29" priority="3" operator="lessThan">
      <formula>100</formula>
    </cfRule>
    <cfRule type="cellIs" dxfId="28" priority="4" operator="equal">
      <formula>100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2062-EDD9-6740-99EF-4E18AC64EC35}">
  <sheetPr>
    <tabColor rgb="FF00B0F0"/>
  </sheetPr>
  <dimension ref="A1:V44"/>
  <sheetViews>
    <sheetView workbookViewId="0">
      <pane xSplit="1" topLeftCell="B1" activePane="topRight" state="frozen"/>
      <selection pane="topRight" activeCell="U7" sqref="U7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" bestFit="1" customWidth="1"/>
  </cols>
  <sheetData>
    <row r="1" spans="1:22" x14ac:dyDescent="0.2">
      <c r="A1" s="4" t="s">
        <v>84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T1" s="1" t="s">
        <v>1</v>
      </c>
    </row>
    <row r="2" spans="1:22" x14ac:dyDescent="0.2">
      <c r="A2" s="1" t="s">
        <v>1</v>
      </c>
      <c r="B2">
        <v>50</v>
      </c>
      <c r="C2">
        <v>35</v>
      </c>
      <c r="D2">
        <v>30</v>
      </c>
      <c r="E2">
        <v>40</v>
      </c>
      <c r="F2">
        <v>40</v>
      </c>
      <c r="G2">
        <v>35</v>
      </c>
      <c r="H2">
        <v>30</v>
      </c>
      <c r="I2">
        <v>25</v>
      </c>
      <c r="J2">
        <v>50</v>
      </c>
      <c r="K2">
        <v>30</v>
      </c>
      <c r="L2">
        <v>50</v>
      </c>
      <c r="M2">
        <v>30</v>
      </c>
      <c r="N2">
        <v>35</v>
      </c>
      <c r="O2">
        <v>30</v>
      </c>
      <c r="P2">
        <v>50</v>
      </c>
      <c r="Q2" s="8"/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  <c r="T6" s="19" t="s">
        <v>7</v>
      </c>
      <c r="U6">
        <f>Q7</f>
        <v>37.333333333333336</v>
      </c>
    </row>
    <row r="7" spans="1:22" s="2" customFormat="1" x14ac:dyDescent="0.2">
      <c r="A7" s="3" t="s">
        <v>7</v>
      </c>
      <c r="B7" s="3">
        <f>(B2+B3)</f>
        <v>50</v>
      </c>
      <c r="C7" s="3">
        <f t="shared" ref="C7:P7" si="0">(C2+C3)</f>
        <v>35</v>
      </c>
      <c r="D7" s="3">
        <f t="shared" si="0"/>
        <v>30</v>
      </c>
      <c r="E7" s="3">
        <f t="shared" si="0"/>
        <v>40</v>
      </c>
      <c r="F7" s="3">
        <f t="shared" si="0"/>
        <v>40</v>
      </c>
      <c r="G7" s="3">
        <f t="shared" si="0"/>
        <v>35</v>
      </c>
      <c r="H7" s="3">
        <f t="shared" si="0"/>
        <v>30</v>
      </c>
      <c r="I7" s="3">
        <f t="shared" si="0"/>
        <v>25</v>
      </c>
      <c r="J7" s="3">
        <f t="shared" si="0"/>
        <v>50</v>
      </c>
      <c r="K7" s="3">
        <f t="shared" si="0"/>
        <v>30</v>
      </c>
      <c r="L7" s="3">
        <f t="shared" si="0"/>
        <v>50</v>
      </c>
      <c r="M7" s="3">
        <f t="shared" si="0"/>
        <v>30</v>
      </c>
      <c r="N7" s="3">
        <f t="shared" si="0"/>
        <v>35</v>
      </c>
      <c r="O7" s="3">
        <f t="shared" si="0"/>
        <v>30</v>
      </c>
      <c r="P7" s="3">
        <f t="shared" si="0"/>
        <v>50</v>
      </c>
      <c r="Q7" s="5">
        <f>AVERAGE(B7:P7)</f>
        <v>37.333333333333336</v>
      </c>
      <c r="R7" s="2" t="s">
        <v>16</v>
      </c>
      <c r="T7" s="1" t="s">
        <v>6</v>
      </c>
      <c r="U7" s="2">
        <f>Q8/V$10*100</f>
        <v>54.347826086956516</v>
      </c>
    </row>
    <row r="8" spans="1:22" x14ac:dyDescent="0.2">
      <c r="A8" s="1" t="s">
        <v>6</v>
      </c>
      <c r="B8">
        <v>10</v>
      </c>
      <c r="D8">
        <v>10</v>
      </c>
      <c r="E8">
        <v>20</v>
      </c>
      <c r="F8">
        <v>5</v>
      </c>
      <c r="G8">
        <v>15</v>
      </c>
      <c r="H8">
        <v>5</v>
      </c>
      <c r="I8">
        <v>20</v>
      </c>
      <c r="J8">
        <v>15</v>
      </c>
      <c r="K8">
        <v>5</v>
      </c>
      <c r="L8">
        <v>10</v>
      </c>
      <c r="P8">
        <v>10</v>
      </c>
      <c r="Q8" s="9">
        <f>SUM(B8:P8)</f>
        <v>125</v>
      </c>
      <c r="T8" t="s">
        <v>34</v>
      </c>
      <c r="U8" s="2">
        <f>Q9/V$10*100</f>
        <v>2.1739130434782608</v>
      </c>
    </row>
    <row r="9" spans="1:22" x14ac:dyDescent="0.2">
      <c r="A9" t="s">
        <v>34</v>
      </c>
      <c r="C9">
        <v>5</v>
      </c>
      <c r="Q9" s="9">
        <f t="shared" ref="Q9:Q10" si="1">SUM(B9:P9)</f>
        <v>5</v>
      </c>
      <c r="T9" t="s">
        <v>47</v>
      </c>
      <c r="U9" s="2">
        <f>Q10/V$10*100</f>
        <v>43.478260869565219</v>
      </c>
    </row>
    <row r="10" spans="1:22" x14ac:dyDescent="0.2">
      <c r="A10" t="s">
        <v>47</v>
      </c>
      <c r="B10">
        <v>10</v>
      </c>
      <c r="C10">
        <v>5</v>
      </c>
      <c r="D10">
        <v>5</v>
      </c>
      <c r="E10">
        <v>10</v>
      </c>
      <c r="F10">
        <v>5</v>
      </c>
      <c r="G10">
        <v>5</v>
      </c>
      <c r="H10">
        <v>10</v>
      </c>
      <c r="I10">
        <v>5</v>
      </c>
      <c r="J10">
        <v>5</v>
      </c>
      <c r="K10">
        <v>5</v>
      </c>
      <c r="L10">
        <v>5</v>
      </c>
      <c r="M10">
        <v>10</v>
      </c>
      <c r="N10">
        <v>10</v>
      </c>
      <c r="O10">
        <v>5</v>
      </c>
      <c r="P10">
        <v>5</v>
      </c>
      <c r="Q10" s="9">
        <f t="shared" si="1"/>
        <v>100</v>
      </c>
      <c r="T10" s="19" t="s">
        <v>7</v>
      </c>
      <c r="U10">
        <f>Q11</f>
        <v>15.333333333333334</v>
      </c>
      <c r="V10">
        <f>SUM(Q8:Q10)</f>
        <v>230</v>
      </c>
    </row>
    <row r="11" spans="1:22" s="2" customFormat="1" x14ac:dyDescent="0.2">
      <c r="A11" s="3" t="s">
        <v>7</v>
      </c>
      <c r="B11" s="3">
        <f>(B8+B9+B10)</f>
        <v>20</v>
      </c>
      <c r="C11" s="3">
        <f t="shared" ref="C11:P11" si="2">(C8+C9+C10)</f>
        <v>10</v>
      </c>
      <c r="D11" s="3">
        <f t="shared" si="2"/>
        <v>15</v>
      </c>
      <c r="E11" s="3">
        <f t="shared" si="2"/>
        <v>30</v>
      </c>
      <c r="F11" s="3">
        <f t="shared" si="2"/>
        <v>10</v>
      </c>
      <c r="G11" s="3">
        <f t="shared" si="2"/>
        <v>20</v>
      </c>
      <c r="H11" s="3">
        <f t="shared" si="2"/>
        <v>15</v>
      </c>
      <c r="I11" s="3">
        <f t="shared" si="2"/>
        <v>25</v>
      </c>
      <c r="J11" s="3">
        <f t="shared" si="2"/>
        <v>20</v>
      </c>
      <c r="K11" s="3">
        <f t="shared" si="2"/>
        <v>10</v>
      </c>
      <c r="L11" s="3">
        <f t="shared" si="2"/>
        <v>15</v>
      </c>
      <c r="M11" s="3">
        <f t="shared" si="2"/>
        <v>10</v>
      </c>
      <c r="N11" s="3">
        <f t="shared" si="2"/>
        <v>10</v>
      </c>
      <c r="O11" s="3">
        <f t="shared" si="2"/>
        <v>5</v>
      </c>
      <c r="P11" s="3">
        <f t="shared" si="2"/>
        <v>15</v>
      </c>
      <c r="Q11" s="5">
        <f>AVERAGE(B11:P11)</f>
        <v>15.333333333333334</v>
      </c>
      <c r="R11" s="2" t="s">
        <v>16</v>
      </c>
      <c r="T11" s="1" t="s">
        <v>8</v>
      </c>
    </row>
    <row r="12" spans="1:22" x14ac:dyDescent="0.2">
      <c r="A12" s="1" t="s">
        <v>8</v>
      </c>
      <c r="B12">
        <v>30</v>
      </c>
      <c r="C12">
        <v>20</v>
      </c>
      <c r="D12">
        <v>40</v>
      </c>
      <c r="E12">
        <v>25</v>
      </c>
      <c r="F12">
        <v>40</v>
      </c>
      <c r="G12">
        <v>30</v>
      </c>
      <c r="H12">
        <v>45</v>
      </c>
      <c r="I12">
        <v>30</v>
      </c>
      <c r="J12">
        <v>25</v>
      </c>
      <c r="K12">
        <v>40</v>
      </c>
      <c r="L12">
        <v>25</v>
      </c>
      <c r="M12">
        <v>40</v>
      </c>
      <c r="N12">
        <v>50</v>
      </c>
      <c r="O12">
        <v>60</v>
      </c>
      <c r="P12">
        <v>30</v>
      </c>
      <c r="Q12" s="9"/>
      <c r="T12" s="1"/>
    </row>
    <row r="13" spans="1:22" x14ac:dyDescent="0.2">
      <c r="A13" s="1"/>
      <c r="Q13" s="9"/>
      <c r="T13" s="1"/>
    </row>
    <row r="14" spans="1:22" x14ac:dyDescent="0.2">
      <c r="A14" s="1"/>
      <c r="Q14" s="9"/>
    </row>
    <row r="15" spans="1:22" x14ac:dyDescent="0.2">
      <c r="Q15" s="9"/>
      <c r="T15" s="19" t="s">
        <v>7</v>
      </c>
      <c r="U15">
        <f>Q16</f>
        <v>35.333333333333336</v>
      </c>
    </row>
    <row r="16" spans="1:22" s="2" customFormat="1" x14ac:dyDescent="0.2">
      <c r="A16" s="3" t="s">
        <v>7</v>
      </c>
      <c r="B16" s="3">
        <f>(B12)</f>
        <v>30</v>
      </c>
      <c r="C16" s="3">
        <f t="shared" ref="C16:P16" si="3">(C12)</f>
        <v>20</v>
      </c>
      <c r="D16" s="3">
        <f t="shared" si="3"/>
        <v>40</v>
      </c>
      <c r="E16" s="3">
        <f t="shared" si="3"/>
        <v>25</v>
      </c>
      <c r="F16" s="3">
        <f t="shared" si="3"/>
        <v>40</v>
      </c>
      <c r="G16" s="3">
        <f t="shared" si="3"/>
        <v>30</v>
      </c>
      <c r="H16" s="3">
        <f t="shared" si="3"/>
        <v>45</v>
      </c>
      <c r="I16" s="3">
        <f t="shared" si="3"/>
        <v>30</v>
      </c>
      <c r="J16" s="3">
        <f>(J12)</f>
        <v>25</v>
      </c>
      <c r="K16" s="3">
        <f t="shared" si="3"/>
        <v>40</v>
      </c>
      <c r="L16" s="3">
        <f t="shared" si="3"/>
        <v>25</v>
      </c>
      <c r="M16" s="3">
        <f t="shared" si="3"/>
        <v>40</v>
      </c>
      <c r="N16" s="3">
        <f t="shared" si="3"/>
        <v>50</v>
      </c>
      <c r="O16" s="3">
        <f t="shared" si="3"/>
        <v>60</v>
      </c>
      <c r="P16" s="3">
        <f t="shared" si="3"/>
        <v>30</v>
      </c>
      <c r="Q16" s="5">
        <f>AVERAGE(B16:P16)</f>
        <v>35.333333333333336</v>
      </c>
      <c r="R16" s="2" t="s">
        <v>16</v>
      </c>
      <c r="T16" s="1" t="s">
        <v>9</v>
      </c>
      <c r="U16" s="2">
        <f>Q17/V$22*100</f>
        <v>25</v>
      </c>
    </row>
    <row r="17" spans="1:22" x14ac:dyDescent="0.2">
      <c r="A17" s="1" t="s">
        <v>9</v>
      </c>
      <c r="F17">
        <v>5</v>
      </c>
      <c r="G17">
        <v>5</v>
      </c>
      <c r="H17">
        <v>5</v>
      </c>
      <c r="I17">
        <v>5</v>
      </c>
      <c r="L17">
        <v>5</v>
      </c>
      <c r="M17">
        <v>5</v>
      </c>
      <c r="N17">
        <v>5</v>
      </c>
      <c r="O17">
        <v>5</v>
      </c>
      <c r="P17">
        <v>5</v>
      </c>
      <c r="Q17" s="9">
        <f t="shared" ref="Q17:Q20" si="4">SUM(B17:P17)</f>
        <v>45</v>
      </c>
      <c r="T17" s="2" t="s">
        <v>14</v>
      </c>
      <c r="U17" s="2">
        <f>Q18/V$22*100</f>
        <v>13.888888888888889</v>
      </c>
    </row>
    <row r="18" spans="1:22" x14ac:dyDescent="0.2">
      <c r="A18" s="2" t="s">
        <v>14</v>
      </c>
      <c r="C18">
        <v>5</v>
      </c>
      <c r="D18">
        <v>5</v>
      </c>
      <c r="E18">
        <v>5</v>
      </c>
      <c r="K18">
        <v>5</v>
      </c>
      <c r="L18">
        <v>5</v>
      </c>
      <c r="Q18" s="9">
        <f t="shared" si="4"/>
        <v>25</v>
      </c>
      <c r="T18" t="s">
        <v>26</v>
      </c>
    </row>
    <row r="19" spans="1:22" x14ac:dyDescent="0.2">
      <c r="A19" t="s">
        <v>26</v>
      </c>
      <c r="Q19" s="9">
        <f t="shared" si="4"/>
        <v>0</v>
      </c>
      <c r="R19" t="s">
        <v>42</v>
      </c>
      <c r="T19" t="s">
        <v>65</v>
      </c>
    </row>
    <row r="20" spans="1:22" x14ac:dyDescent="0.2">
      <c r="A20" t="s">
        <v>83</v>
      </c>
      <c r="C20">
        <v>30</v>
      </c>
      <c r="D20">
        <v>10</v>
      </c>
      <c r="F20">
        <v>5</v>
      </c>
      <c r="G20">
        <v>10</v>
      </c>
      <c r="H20">
        <v>5</v>
      </c>
      <c r="I20">
        <v>15</v>
      </c>
      <c r="J20">
        <v>5</v>
      </c>
      <c r="K20">
        <v>15</v>
      </c>
      <c r="M20">
        <v>15</v>
      </c>
      <c r="Q20" s="9">
        <f t="shared" si="4"/>
        <v>110</v>
      </c>
      <c r="T20" t="s">
        <v>66</v>
      </c>
      <c r="U20">
        <f>Q20/V$22*100</f>
        <v>61.111111111111114</v>
      </c>
    </row>
    <row r="21" spans="1:22" s="2" customFormat="1" x14ac:dyDescent="0.2">
      <c r="A21" s="3" t="s">
        <v>7</v>
      </c>
      <c r="B21" s="3">
        <f>(B17+B18+B20)</f>
        <v>0</v>
      </c>
      <c r="C21" s="3">
        <f>(C17+C18+C20)</f>
        <v>35</v>
      </c>
      <c r="D21" s="3">
        <f t="shared" ref="D21:J21" si="5">(D17+D18+D20)</f>
        <v>15</v>
      </c>
      <c r="E21" s="3">
        <f t="shared" si="5"/>
        <v>5</v>
      </c>
      <c r="F21" s="3">
        <f t="shared" si="5"/>
        <v>10</v>
      </c>
      <c r="G21" s="3">
        <f t="shared" si="5"/>
        <v>15</v>
      </c>
      <c r="H21" s="3">
        <f t="shared" si="5"/>
        <v>10</v>
      </c>
      <c r="I21" s="3">
        <f t="shared" si="5"/>
        <v>20</v>
      </c>
      <c r="J21" s="3">
        <f t="shared" si="5"/>
        <v>5</v>
      </c>
      <c r="K21" s="3">
        <f>(K17+K18+K20)</f>
        <v>20</v>
      </c>
      <c r="L21" s="3">
        <f>(L17+L18+L20)</f>
        <v>10</v>
      </c>
      <c r="M21" s="3">
        <f t="shared" ref="M21" si="6">(M17+M18+M20)</f>
        <v>20</v>
      </c>
      <c r="N21" s="3">
        <f t="shared" ref="N21" si="7">(N17+N18+N20)</f>
        <v>5</v>
      </c>
      <c r="O21" s="3">
        <f t="shared" ref="O21" si="8">(O17+O18+O20)</f>
        <v>5</v>
      </c>
      <c r="P21" s="3">
        <f t="shared" ref="P21" si="9">(P17+P18+P20)</f>
        <v>5</v>
      </c>
      <c r="Q21" s="5">
        <f>AVERAGE(B21:P21)</f>
        <v>12</v>
      </c>
      <c r="R21" s="2" t="s">
        <v>16</v>
      </c>
      <c r="T21" t="s">
        <v>89</v>
      </c>
    </row>
    <row r="22" spans="1:22" x14ac:dyDescent="0.2">
      <c r="A22" s="1" t="s">
        <v>10</v>
      </c>
      <c r="Q22" s="11" t="s">
        <v>39</v>
      </c>
      <c r="R22" s="12" t="s">
        <v>38</v>
      </c>
      <c r="T22" s="19" t="s">
        <v>7</v>
      </c>
      <c r="U22">
        <f>Q21</f>
        <v>12</v>
      </c>
      <c r="V22">
        <f>SUM(Q17:Q20)</f>
        <v>180</v>
      </c>
    </row>
    <row r="23" spans="1:22" x14ac:dyDescent="0.2">
      <c r="A23" s="2" t="s">
        <v>18</v>
      </c>
      <c r="B23">
        <v>6</v>
      </c>
      <c r="C23">
        <v>10</v>
      </c>
      <c r="D23">
        <v>4</v>
      </c>
      <c r="E23">
        <v>11</v>
      </c>
      <c r="F23">
        <v>5</v>
      </c>
      <c r="G23">
        <v>11</v>
      </c>
      <c r="H23">
        <v>5</v>
      </c>
      <c r="I23">
        <v>11</v>
      </c>
      <c r="J23">
        <v>5</v>
      </c>
      <c r="K23">
        <v>8</v>
      </c>
      <c r="L23">
        <v>8</v>
      </c>
      <c r="M23">
        <v>16</v>
      </c>
      <c r="N23">
        <v>14</v>
      </c>
      <c r="O23">
        <v>5</v>
      </c>
      <c r="P23">
        <v>12</v>
      </c>
      <c r="Q23" s="9">
        <f>SUM(B23:P23)</f>
        <v>131</v>
      </c>
      <c r="R23">
        <f>Q23/Q$29*100</f>
        <v>94.24460431654677</v>
      </c>
      <c r="T23" s="1" t="s">
        <v>10</v>
      </c>
    </row>
    <row r="24" spans="1:22" x14ac:dyDescent="0.2">
      <c r="A24" s="2" t="s">
        <v>19</v>
      </c>
      <c r="D24">
        <v>1</v>
      </c>
      <c r="G24">
        <v>1</v>
      </c>
      <c r="H24">
        <v>1</v>
      </c>
      <c r="J24">
        <v>2</v>
      </c>
      <c r="K24">
        <v>1</v>
      </c>
      <c r="N24">
        <v>1</v>
      </c>
      <c r="Q24" s="9">
        <f t="shared" ref="Q24:Q27" si="10">SUM(B24:P24)</f>
        <v>7</v>
      </c>
      <c r="R24">
        <f t="shared" ref="R24:R28" si="11">Q24/Q$29*100</f>
        <v>5.0359712230215825</v>
      </c>
      <c r="T24" s="2" t="s">
        <v>18</v>
      </c>
      <c r="U24" cm="1">
        <f t="array" ref="U24:U30">Q23:Q29</f>
        <v>131</v>
      </c>
    </row>
    <row r="25" spans="1:22" x14ac:dyDescent="0.2">
      <c r="A25" s="2" t="s">
        <v>20</v>
      </c>
      <c r="Q25" s="9">
        <f t="shared" si="10"/>
        <v>0</v>
      </c>
      <c r="R25">
        <f t="shared" si="11"/>
        <v>0</v>
      </c>
      <c r="T25" s="2" t="s">
        <v>19</v>
      </c>
      <c r="U25">
        <v>7</v>
      </c>
    </row>
    <row r="26" spans="1:22" x14ac:dyDescent="0.2">
      <c r="A26" s="2" t="s">
        <v>21</v>
      </c>
      <c r="D26">
        <v>1</v>
      </c>
      <c r="Q26" s="9">
        <f t="shared" si="10"/>
        <v>1</v>
      </c>
      <c r="R26">
        <f t="shared" si="11"/>
        <v>0.71942446043165476</v>
      </c>
      <c r="T26" s="2" t="s">
        <v>20</v>
      </c>
      <c r="U26">
        <v>0</v>
      </c>
    </row>
    <row r="27" spans="1:22" x14ac:dyDescent="0.2">
      <c r="A27" s="2" t="s">
        <v>22</v>
      </c>
      <c r="Q27" s="9">
        <f t="shared" si="10"/>
        <v>0</v>
      </c>
      <c r="R27">
        <f t="shared" si="11"/>
        <v>0</v>
      </c>
      <c r="T27" s="2" t="s">
        <v>21</v>
      </c>
      <c r="U27">
        <v>1</v>
      </c>
    </row>
    <row r="28" spans="1:22" x14ac:dyDescent="0.2">
      <c r="A28" s="2" t="s">
        <v>23</v>
      </c>
      <c r="Q28" s="9">
        <f>SUM(B28:P28)</f>
        <v>0</v>
      </c>
      <c r="R28">
        <f t="shared" si="11"/>
        <v>0</v>
      </c>
      <c r="T28" s="2" t="s">
        <v>22</v>
      </c>
      <c r="U28">
        <v>0</v>
      </c>
    </row>
    <row r="29" spans="1:22" s="2" customFormat="1" x14ac:dyDescent="0.2">
      <c r="A29" s="3" t="s">
        <v>7</v>
      </c>
      <c r="B29" s="3">
        <f t="shared" ref="B29:P29" si="12">(B22)</f>
        <v>0</v>
      </c>
      <c r="C29" s="3">
        <f t="shared" si="12"/>
        <v>0</v>
      </c>
      <c r="D29" s="3">
        <f t="shared" si="12"/>
        <v>0</v>
      </c>
      <c r="E29" s="3">
        <f t="shared" si="12"/>
        <v>0</v>
      </c>
      <c r="F29" s="3">
        <f t="shared" si="12"/>
        <v>0</v>
      </c>
      <c r="G29" s="3">
        <f t="shared" si="12"/>
        <v>0</v>
      </c>
      <c r="H29" s="3">
        <f t="shared" si="12"/>
        <v>0</v>
      </c>
      <c r="I29" s="3">
        <f t="shared" si="12"/>
        <v>0</v>
      </c>
      <c r="J29" s="3">
        <f t="shared" si="12"/>
        <v>0</v>
      </c>
      <c r="K29" s="3">
        <f t="shared" si="12"/>
        <v>0</v>
      </c>
      <c r="L29" s="3">
        <f t="shared" si="12"/>
        <v>0</v>
      </c>
      <c r="M29" s="3">
        <f t="shared" si="12"/>
        <v>0</v>
      </c>
      <c r="N29" s="3">
        <f t="shared" si="12"/>
        <v>0</v>
      </c>
      <c r="O29" s="3">
        <f t="shared" si="12"/>
        <v>0</v>
      </c>
      <c r="P29" s="3">
        <f t="shared" si="12"/>
        <v>0</v>
      </c>
      <c r="Q29" s="6">
        <f>SUM(Q23:Q28)</f>
        <v>139</v>
      </c>
      <c r="R29" s="2" t="s">
        <v>17</v>
      </c>
      <c r="T29" s="2" t="s">
        <v>23</v>
      </c>
      <c r="U29" s="2">
        <v>0</v>
      </c>
    </row>
    <row r="30" spans="1:22" x14ac:dyDescent="0.2">
      <c r="Q30" s="9"/>
      <c r="T30" s="3" t="s">
        <v>7</v>
      </c>
      <c r="U30">
        <v>139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3">(C21+C16+C11+C7)</f>
        <v>100</v>
      </c>
      <c r="D31" s="4">
        <f t="shared" si="13"/>
        <v>100</v>
      </c>
      <c r="E31" s="4">
        <f t="shared" si="13"/>
        <v>100</v>
      </c>
      <c r="F31" s="4">
        <f t="shared" si="13"/>
        <v>100</v>
      </c>
      <c r="G31" s="4">
        <f t="shared" si="13"/>
        <v>100</v>
      </c>
      <c r="H31" s="4">
        <f t="shared" si="13"/>
        <v>100</v>
      </c>
      <c r="I31" s="4">
        <f t="shared" si="13"/>
        <v>100</v>
      </c>
      <c r="J31" s="4">
        <f t="shared" si="13"/>
        <v>100</v>
      </c>
      <c r="K31" s="4">
        <f t="shared" si="13"/>
        <v>100</v>
      </c>
      <c r="L31" s="4">
        <f t="shared" si="13"/>
        <v>100</v>
      </c>
      <c r="M31" s="4">
        <f t="shared" si="13"/>
        <v>100</v>
      </c>
      <c r="N31" s="4">
        <f t="shared" si="13"/>
        <v>100</v>
      </c>
      <c r="O31" s="4">
        <f t="shared" si="13"/>
        <v>100</v>
      </c>
      <c r="P31" s="4">
        <f t="shared" si="13"/>
        <v>100</v>
      </c>
      <c r="Q31" s="7">
        <f>SUM(Q21+Q16+Q11+Q7)</f>
        <v>100</v>
      </c>
    </row>
    <row r="35" spans="1:3" x14ac:dyDescent="0.2">
      <c r="A35" s="4" t="s">
        <v>84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B37">
        <v>5</v>
      </c>
      <c r="C37">
        <f>B37/B$41*100</f>
        <v>16.666666666666664</v>
      </c>
    </row>
    <row r="38" spans="1:3" x14ac:dyDescent="0.2">
      <c r="A38" t="s">
        <v>3</v>
      </c>
      <c r="B38">
        <v>14</v>
      </c>
      <c r="C38">
        <f t="shared" ref="C38:C41" si="14">B38/B$41*100</f>
        <v>46.666666666666664</v>
      </c>
    </row>
    <row r="39" spans="1:3" x14ac:dyDescent="0.2">
      <c r="A39" t="s">
        <v>4</v>
      </c>
      <c r="B39">
        <v>5</v>
      </c>
      <c r="C39">
        <f t="shared" si="14"/>
        <v>16.666666666666664</v>
      </c>
    </row>
    <row r="40" spans="1:3" x14ac:dyDescent="0.2">
      <c r="A40" t="s">
        <v>5</v>
      </c>
      <c r="B40">
        <v>6</v>
      </c>
      <c r="C40">
        <f t="shared" si="14"/>
        <v>20</v>
      </c>
    </row>
    <row r="41" spans="1:3" x14ac:dyDescent="0.2">
      <c r="A41" s="1" t="s">
        <v>13</v>
      </c>
      <c r="B41">
        <f>(B40+B39+B38+B37)</f>
        <v>30</v>
      </c>
      <c r="C41">
        <f t="shared" si="14"/>
        <v>100</v>
      </c>
    </row>
    <row r="44" spans="1:3" x14ac:dyDescent="0.2">
      <c r="A44" s="1" t="s">
        <v>53</v>
      </c>
    </row>
  </sheetData>
  <conditionalFormatting sqref="B41">
    <cfRule type="cellIs" dxfId="27" priority="1" operator="lessThan">
      <formula>30</formula>
    </cfRule>
    <cfRule type="cellIs" dxfId="26" priority="2" operator="equal">
      <formula>30</formula>
    </cfRule>
  </conditionalFormatting>
  <conditionalFormatting sqref="B31:P31">
    <cfRule type="cellIs" dxfId="25" priority="3" operator="lessThan">
      <formula>100</formula>
    </cfRule>
    <cfRule type="cellIs" dxfId="24" priority="4" operator="equal">
      <formula>100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618F-0791-1849-95C5-54FF70FE299B}">
  <sheetPr>
    <tabColor rgb="FF92D050"/>
  </sheetPr>
  <dimension ref="A1:V47"/>
  <sheetViews>
    <sheetView zoomScale="93" workbookViewId="0">
      <pane xSplit="1" topLeftCell="B1" activePane="topRight" state="frozen"/>
      <selection pane="topRight" activeCell="U7" sqref="U7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.1640625" bestFit="1" customWidth="1"/>
  </cols>
  <sheetData>
    <row r="1" spans="1:22" x14ac:dyDescent="0.2">
      <c r="A1" s="4" t="s">
        <v>64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T1" s="1" t="s">
        <v>1</v>
      </c>
    </row>
    <row r="2" spans="1:22" x14ac:dyDescent="0.2">
      <c r="A2" s="1" t="s">
        <v>1</v>
      </c>
      <c r="B2">
        <v>30</v>
      </c>
      <c r="C2">
        <v>40</v>
      </c>
      <c r="D2">
        <v>40</v>
      </c>
      <c r="E2">
        <v>30</v>
      </c>
      <c r="F2">
        <v>30</v>
      </c>
      <c r="G2">
        <v>30</v>
      </c>
      <c r="H2">
        <v>30</v>
      </c>
      <c r="I2">
        <v>50</v>
      </c>
      <c r="J2">
        <v>35</v>
      </c>
      <c r="K2">
        <v>35</v>
      </c>
      <c r="L2">
        <v>40</v>
      </c>
      <c r="M2">
        <v>30</v>
      </c>
      <c r="N2">
        <v>30</v>
      </c>
      <c r="O2">
        <v>35</v>
      </c>
      <c r="P2">
        <v>25</v>
      </c>
      <c r="Q2" s="8"/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  <c r="T6" s="19" t="s">
        <v>7</v>
      </c>
      <c r="U6">
        <f>Q7</f>
        <v>34</v>
      </c>
    </row>
    <row r="7" spans="1:22" s="2" customFormat="1" x14ac:dyDescent="0.2">
      <c r="A7" s="3" t="s">
        <v>7</v>
      </c>
      <c r="B7" s="3">
        <f>(B2+B3)</f>
        <v>30</v>
      </c>
      <c r="C7" s="3">
        <f t="shared" ref="C7:P7" si="0">(C2+C3)</f>
        <v>40</v>
      </c>
      <c r="D7" s="3">
        <f t="shared" si="0"/>
        <v>40</v>
      </c>
      <c r="E7" s="3">
        <f t="shared" si="0"/>
        <v>30</v>
      </c>
      <c r="F7" s="3">
        <f t="shared" si="0"/>
        <v>30</v>
      </c>
      <c r="G7" s="3">
        <f t="shared" si="0"/>
        <v>30</v>
      </c>
      <c r="H7" s="3">
        <f t="shared" si="0"/>
        <v>30</v>
      </c>
      <c r="I7" s="3">
        <f t="shared" si="0"/>
        <v>50</v>
      </c>
      <c r="J7" s="3">
        <f t="shared" si="0"/>
        <v>35</v>
      </c>
      <c r="K7" s="3">
        <f t="shared" si="0"/>
        <v>35</v>
      </c>
      <c r="L7" s="3">
        <f t="shared" si="0"/>
        <v>40</v>
      </c>
      <c r="M7" s="3">
        <f t="shared" si="0"/>
        <v>30</v>
      </c>
      <c r="N7" s="3">
        <f t="shared" si="0"/>
        <v>30</v>
      </c>
      <c r="O7" s="3">
        <f t="shared" si="0"/>
        <v>35</v>
      </c>
      <c r="P7" s="3">
        <f t="shared" si="0"/>
        <v>25</v>
      </c>
      <c r="Q7" s="5">
        <f>AVERAGE(B7:P7)</f>
        <v>34</v>
      </c>
      <c r="R7" s="2" t="s">
        <v>16</v>
      </c>
      <c r="T7" s="1" t="s">
        <v>6</v>
      </c>
      <c r="U7" s="2">
        <f>Q8/V$10*100</f>
        <v>29.032258064516132</v>
      </c>
    </row>
    <row r="8" spans="1:22" x14ac:dyDescent="0.2">
      <c r="A8" s="1" t="s">
        <v>6</v>
      </c>
      <c r="B8">
        <v>15</v>
      </c>
      <c r="C8">
        <v>5</v>
      </c>
      <c r="F8">
        <v>5</v>
      </c>
      <c r="G8">
        <v>5</v>
      </c>
      <c r="H8">
        <v>5</v>
      </c>
      <c r="M8">
        <v>5</v>
      </c>
      <c r="P8">
        <v>5</v>
      </c>
      <c r="Q8" s="9">
        <f>SUM(B8:P8)</f>
        <v>45</v>
      </c>
      <c r="T8" t="s">
        <v>34</v>
      </c>
      <c r="U8" s="2">
        <f t="shared" ref="U8" si="1">Q9/V$10*100</f>
        <v>0</v>
      </c>
    </row>
    <row r="9" spans="1:22" x14ac:dyDescent="0.2">
      <c r="A9" t="s">
        <v>34</v>
      </c>
      <c r="Q9" s="9">
        <f t="shared" ref="Q9:Q10" si="2">SUM(B9:P9)</f>
        <v>0</v>
      </c>
      <c r="T9" t="s">
        <v>47</v>
      </c>
      <c r="U9" s="2">
        <f>Q10/V$10*100</f>
        <v>70.967741935483872</v>
      </c>
    </row>
    <row r="10" spans="1:22" x14ac:dyDescent="0.2">
      <c r="A10" t="s">
        <v>47</v>
      </c>
      <c r="B10">
        <v>5</v>
      </c>
      <c r="C10">
        <v>5</v>
      </c>
      <c r="D10">
        <v>5</v>
      </c>
      <c r="E10">
        <v>10</v>
      </c>
      <c r="F10">
        <v>10</v>
      </c>
      <c r="G10">
        <v>5</v>
      </c>
      <c r="H10">
        <v>5</v>
      </c>
      <c r="I10">
        <v>10</v>
      </c>
      <c r="J10">
        <v>10</v>
      </c>
      <c r="K10">
        <v>10</v>
      </c>
      <c r="L10">
        <v>5</v>
      </c>
      <c r="M10">
        <v>10</v>
      </c>
      <c r="N10">
        <v>5</v>
      </c>
      <c r="O10">
        <v>5</v>
      </c>
      <c r="P10">
        <v>10</v>
      </c>
      <c r="Q10" s="9">
        <f t="shared" si="2"/>
        <v>110</v>
      </c>
      <c r="T10" s="19" t="s">
        <v>7</v>
      </c>
      <c r="U10">
        <f>Q11</f>
        <v>10.333333333333334</v>
      </c>
      <c r="V10">
        <f>SUM(Q8:Q10)</f>
        <v>155</v>
      </c>
    </row>
    <row r="11" spans="1:22" s="2" customFormat="1" x14ac:dyDescent="0.2">
      <c r="A11" s="3" t="s">
        <v>7</v>
      </c>
      <c r="B11" s="3">
        <f>(B8+B9+B10)</f>
        <v>20</v>
      </c>
      <c r="C11" s="3">
        <f t="shared" ref="C11:M11" si="3">(C8+C9+C10)</f>
        <v>10</v>
      </c>
      <c r="D11" s="3">
        <f t="shared" si="3"/>
        <v>5</v>
      </c>
      <c r="E11" s="3">
        <f t="shared" si="3"/>
        <v>10</v>
      </c>
      <c r="F11" s="3">
        <f t="shared" si="3"/>
        <v>15</v>
      </c>
      <c r="G11" s="3">
        <f t="shared" si="3"/>
        <v>10</v>
      </c>
      <c r="H11" s="3">
        <f t="shared" si="3"/>
        <v>10</v>
      </c>
      <c r="I11" s="3">
        <f t="shared" si="3"/>
        <v>10</v>
      </c>
      <c r="J11" s="3">
        <f t="shared" si="3"/>
        <v>10</v>
      </c>
      <c r="K11" s="3">
        <f t="shared" si="3"/>
        <v>10</v>
      </c>
      <c r="L11" s="3">
        <f t="shared" si="3"/>
        <v>5</v>
      </c>
      <c r="M11" s="3">
        <f t="shared" si="3"/>
        <v>15</v>
      </c>
      <c r="N11" s="3">
        <f>(N8+N9+N10)</f>
        <v>5</v>
      </c>
      <c r="O11" s="3">
        <f>(O8+O9+O10)</f>
        <v>5</v>
      </c>
      <c r="P11" s="3">
        <f>(P8+P9+P10)</f>
        <v>15</v>
      </c>
      <c r="Q11" s="5">
        <f>AVERAGE(B11:P11)</f>
        <v>10.333333333333334</v>
      </c>
      <c r="R11" s="2" t="s">
        <v>16</v>
      </c>
      <c r="T11" s="1" t="s">
        <v>8</v>
      </c>
    </row>
    <row r="12" spans="1:22" x14ac:dyDescent="0.2">
      <c r="A12" s="1" t="s">
        <v>8</v>
      </c>
      <c r="B12">
        <v>25</v>
      </c>
      <c r="C12">
        <v>40</v>
      </c>
      <c r="D12">
        <v>40</v>
      </c>
      <c r="E12">
        <v>45</v>
      </c>
      <c r="F12">
        <v>40</v>
      </c>
      <c r="G12">
        <v>50</v>
      </c>
      <c r="H12">
        <v>50</v>
      </c>
      <c r="I12">
        <v>30</v>
      </c>
      <c r="J12">
        <v>30</v>
      </c>
      <c r="K12">
        <v>25</v>
      </c>
      <c r="L12">
        <v>40</v>
      </c>
      <c r="M12">
        <v>35</v>
      </c>
      <c r="N12">
        <v>25</v>
      </c>
      <c r="O12">
        <v>25</v>
      </c>
      <c r="P12">
        <v>40</v>
      </c>
      <c r="Q12" s="9"/>
      <c r="T12" s="1"/>
    </row>
    <row r="13" spans="1:22" x14ac:dyDescent="0.2">
      <c r="A13" s="1"/>
      <c r="Q13" s="9"/>
      <c r="T13" s="1"/>
    </row>
    <row r="14" spans="1:22" x14ac:dyDescent="0.2">
      <c r="A14" s="1"/>
      <c r="Q14" s="9"/>
    </row>
    <row r="15" spans="1:22" x14ac:dyDescent="0.2">
      <c r="Q15" s="9"/>
      <c r="T15" s="19" t="s">
        <v>7</v>
      </c>
      <c r="U15">
        <f>Q16</f>
        <v>36</v>
      </c>
    </row>
    <row r="16" spans="1:22" s="2" customFormat="1" x14ac:dyDescent="0.2">
      <c r="A16" s="3" t="s">
        <v>7</v>
      </c>
      <c r="B16" s="3">
        <f>(B12)</f>
        <v>25</v>
      </c>
      <c r="C16" s="3">
        <f t="shared" ref="C16:P16" si="4">(C12)</f>
        <v>40</v>
      </c>
      <c r="D16" s="3">
        <f t="shared" si="4"/>
        <v>40</v>
      </c>
      <c r="E16" s="3">
        <f t="shared" si="4"/>
        <v>45</v>
      </c>
      <c r="F16" s="3">
        <f t="shared" si="4"/>
        <v>40</v>
      </c>
      <c r="G16" s="3">
        <f t="shared" si="4"/>
        <v>50</v>
      </c>
      <c r="H16" s="3">
        <f t="shared" si="4"/>
        <v>50</v>
      </c>
      <c r="I16" s="3">
        <f t="shared" si="4"/>
        <v>30</v>
      </c>
      <c r="J16" s="3">
        <f>(J12)</f>
        <v>30</v>
      </c>
      <c r="K16" s="3">
        <f t="shared" si="4"/>
        <v>25</v>
      </c>
      <c r="L16" s="3">
        <f t="shared" si="4"/>
        <v>40</v>
      </c>
      <c r="M16" s="3">
        <f t="shared" si="4"/>
        <v>35</v>
      </c>
      <c r="N16" s="3">
        <f t="shared" si="4"/>
        <v>25</v>
      </c>
      <c r="O16" s="3">
        <f t="shared" si="4"/>
        <v>25</v>
      </c>
      <c r="P16" s="3">
        <f t="shared" si="4"/>
        <v>40</v>
      </c>
      <c r="Q16" s="5">
        <f>AVERAGE(B16:P16)</f>
        <v>36</v>
      </c>
      <c r="R16" s="2" t="s">
        <v>16</v>
      </c>
      <c r="T16" s="1" t="s">
        <v>9</v>
      </c>
      <c r="U16" s="2">
        <f>Q17/V$22*100</f>
        <v>69.491525423728817</v>
      </c>
    </row>
    <row r="17" spans="1:22" x14ac:dyDescent="0.2">
      <c r="A17" s="1" t="s">
        <v>9</v>
      </c>
      <c r="B17">
        <v>15</v>
      </c>
      <c r="C17">
        <v>5</v>
      </c>
      <c r="D17">
        <v>10</v>
      </c>
      <c r="E17">
        <v>10</v>
      </c>
      <c r="F17">
        <v>15</v>
      </c>
      <c r="G17">
        <v>10</v>
      </c>
      <c r="H17">
        <v>10</v>
      </c>
      <c r="I17">
        <v>10</v>
      </c>
      <c r="J17">
        <v>20</v>
      </c>
      <c r="K17">
        <v>5</v>
      </c>
      <c r="L17">
        <v>10</v>
      </c>
      <c r="M17">
        <v>10</v>
      </c>
      <c r="N17">
        <v>30</v>
      </c>
      <c r="O17">
        <v>30</v>
      </c>
      <c r="P17">
        <v>15</v>
      </c>
      <c r="Q17" s="9">
        <f t="shared" ref="Q17:Q21" si="5">SUM(B17:P17)</f>
        <v>205</v>
      </c>
      <c r="T17" s="2" t="s">
        <v>14</v>
      </c>
      <c r="U17" s="2">
        <f t="shared" ref="U17:U19" si="6">Q18/V$22*100</f>
        <v>23.728813559322035</v>
      </c>
    </row>
    <row r="18" spans="1:22" x14ac:dyDescent="0.2">
      <c r="A18" s="2" t="s">
        <v>14</v>
      </c>
      <c r="B18">
        <v>10</v>
      </c>
      <c r="C18">
        <v>5</v>
      </c>
      <c r="D18">
        <v>5</v>
      </c>
      <c r="E18">
        <v>5</v>
      </c>
      <c r="J18">
        <v>5</v>
      </c>
      <c r="K18">
        <v>5</v>
      </c>
      <c r="L18">
        <v>5</v>
      </c>
      <c r="M18">
        <v>10</v>
      </c>
      <c r="N18">
        <v>10</v>
      </c>
      <c r="O18">
        <v>5</v>
      </c>
      <c r="P18">
        <v>5</v>
      </c>
      <c r="Q18" s="9">
        <f t="shared" si="5"/>
        <v>70</v>
      </c>
      <c r="T18" t="s">
        <v>26</v>
      </c>
      <c r="U18" s="2">
        <f t="shared" si="6"/>
        <v>0</v>
      </c>
    </row>
    <row r="19" spans="1:22" x14ac:dyDescent="0.2">
      <c r="A19" t="s">
        <v>26</v>
      </c>
      <c r="Q19" s="9">
        <f t="shared" si="5"/>
        <v>0</v>
      </c>
      <c r="R19" t="s">
        <v>42</v>
      </c>
      <c r="T19" t="s">
        <v>65</v>
      </c>
      <c r="U19" s="2">
        <f t="shared" si="6"/>
        <v>3.3898305084745761</v>
      </c>
    </row>
    <row r="20" spans="1:22" x14ac:dyDescent="0.2">
      <c r="A20" t="s">
        <v>65</v>
      </c>
      <c r="K20">
        <v>10</v>
      </c>
      <c r="Q20" s="9">
        <f t="shared" si="5"/>
        <v>10</v>
      </c>
      <c r="T20" t="s">
        <v>66</v>
      </c>
      <c r="U20" s="2">
        <f>Q21/V$22*100</f>
        <v>3.3898305084745761</v>
      </c>
    </row>
    <row r="21" spans="1:22" x14ac:dyDescent="0.2">
      <c r="A21" t="s">
        <v>66</v>
      </c>
      <c r="K21">
        <v>10</v>
      </c>
      <c r="Q21" s="9">
        <f t="shared" si="5"/>
        <v>10</v>
      </c>
      <c r="T21" t="s">
        <v>89</v>
      </c>
      <c r="U21" s="2"/>
    </row>
    <row r="22" spans="1:22" s="2" customFormat="1" x14ac:dyDescent="0.2">
      <c r="A22" s="3" t="s">
        <v>7</v>
      </c>
      <c r="B22" s="3">
        <f>(B17+B18)</f>
        <v>25</v>
      </c>
      <c r="C22" s="3">
        <f t="shared" ref="C22:J22" si="7">(C17+C18)</f>
        <v>10</v>
      </c>
      <c r="D22" s="3">
        <f t="shared" si="7"/>
        <v>15</v>
      </c>
      <c r="E22" s="3">
        <f t="shared" si="7"/>
        <v>15</v>
      </c>
      <c r="F22" s="3">
        <f t="shared" si="7"/>
        <v>15</v>
      </c>
      <c r="G22" s="3">
        <f t="shared" si="7"/>
        <v>10</v>
      </c>
      <c r="H22" s="3">
        <f t="shared" si="7"/>
        <v>10</v>
      </c>
      <c r="I22" s="3">
        <f t="shared" si="7"/>
        <v>10</v>
      </c>
      <c r="J22" s="3">
        <f t="shared" si="7"/>
        <v>25</v>
      </c>
      <c r="K22" s="3">
        <f>(K17+K18+K20+K21)</f>
        <v>30</v>
      </c>
      <c r="L22" s="3">
        <f t="shared" ref="L22:P22" si="8">(L17+L18+L20+L21)</f>
        <v>15</v>
      </c>
      <c r="M22" s="3">
        <f t="shared" si="8"/>
        <v>20</v>
      </c>
      <c r="N22" s="3">
        <f t="shared" si="8"/>
        <v>40</v>
      </c>
      <c r="O22" s="3">
        <f t="shared" si="8"/>
        <v>35</v>
      </c>
      <c r="P22" s="3">
        <f t="shared" si="8"/>
        <v>20</v>
      </c>
      <c r="Q22" s="5">
        <f>AVERAGE(B22:P22)</f>
        <v>19.666666666666668</v>
      </c>
      <c r="R22" s="2" t="s">
        <v>16</v>
      </c>
      <c r="T22" s="19" t="s">
        <v>7</v>
      </c>
      <c r="U22" s="2">
        <f>Q22</f>
        <v>19.666666666666668</v>
      </c>
      <c r="V22" s="2">
        <f>SUM(Q17:Q21)</f>
        <v>295</v>
      </c>
    </row>
    <row r="23" spans="1:22" x14ac:dyDescent="0.2">
      <c r="A23" s="1" t="s">
        <v>10</v>
      </c>
      <c r="Q23" s="11" t="s">
        <v>39</v>
      </c>
      <c r="R23" s="12" t="s">
        <v>38</v>
      </c>
      <c r="T23" s="1" t="s">
        <v>10</v>
      </c>
    </row>
    <row r="24" spans="1:22" x14ac:dyDescent="0.2">
      <c r="A24" s="2" t="s">
        <v>18</v>
      </c>
      <c r="B24">
        <v>9</v>
      </c>
      <c r="C24">
        <v>14</v>
      </c>
      <c r="D24">
        <v>5</v>
      </c>
      <c r="E24">
        <v>3</v>
      </c>
      <c r="F24">
        <v>5</v>
      </c>
      <c r="G24">
        <v>14</v>
      </c>
      <c r="H24">
        <v>8</v>
      </c>
      <c r="I24">
        <v>4</v>
      </c>
      <c r="J24">
        <v>6</v>
      </c>
      <c r="K24">
        <v>7</v>
      </c>
      <c r="L24">
        <v>9</v>
      </c>
      <c r="M24">
        <v>10</v>
      </c>
      <c r="N24">
        <v>10</v>
      </c>
      <c r="O24">
        <v>10</v>
      </c>
      <c r="P24">
        <v>8</v>
      </c>
      <c r="Q24" s="9">
        <f>SUM(B24:P24)</f>
        <v>122</v>
      </c>
      <c r="R24">
        <f>Q24/Q$30*100</f>
        <v>92.424242424242422</v>
      </c>
      <c r="T24" s="2" t="s">
        <v>18</v>
      </c>
      <c r="U24" cm="1">
        <f t="array" ref="U24:U30">Q24:Q30</f>
        <v>122</v>
      </c>
    </row>
    <row r="25" spans="1:22" x14ac:dyDescent="0.2">
      <c r="A25" s="2" t="s">
        <v>19</v>
      </c>
      <c r="B25">
        <v>1</v>
      </c>
      <c r="E25">
        <v>2</v>
      </c>
      <c r="G25">
        <v>1</v>
      </c>
      <c r="I25">
        <v>1</v>
      </c>
      <c r="J25">
        <v>2</v>
      </c>
      <c r="O25">
        <v>2</v>
      </c>
      <c r="Q25" s="9">
        <f>SUM(B25:P25)</f>
        <v>9</v>
      </c>
      <c r="R25">
        <f t="shared" ref="R25:R29" si="9">Q25/Q$30*100</f>
        <v>6.8181818181818175</v>
      </c>
      <c r="T25" s="2" t="s">
        <v>19</v>
      </c>
      <c r="U25">
        <v>9</v>
      </c>
    </row>
    <row r="26" spans="1:22" x14ac:dyDescent="0.2">
      <c r="A26" s="2" t="s">
        <v>20</v>
      </c>
      <c r="Q26" s="9">
        <f t="shared" ref="Q26:Q28" si="10">SUM(B26:P26)</f>
        <v>0</v>
      </c>
      <c r="R26">
        <f t="shared" si="9"/>
        <v>0</v>
      </c>
      <c r="T26" s="2" t="s">
        <v>20</v>
      </c>
      <c r="U26">
        <v>0</v>
      </c>
    </row>
    <row r="27" spans="1:22" x14ac:dyDescent="0.2">
      <c r="A27" s="2" t="s">
        <v>21</v>
      </c>
      <c r="Q27" s="9">
        <f t="shared" si="10"/>
        <v>0</v>
      </c>
      <c r="R27">
        <f t="shared" si="9"/>
        <v>0</v>
      </c>
      <c r="T27" s="2" t="s">
        <v>21</v>
      </c>
      <c r="U27">
        <v>0</v>
      </c>
    </row>
    <row r="28" spans="1:22" x14ac:dyDescent="0.2">
      <c r="A28" s="2" t="s">
        <v>22</v>
      </c>
      <c r="O28">
        <v>1</v>
      </c>
      <c r="Q28" s="9">
        <f t="shared" si="10"/>
        <v>1</v>
      </c>
      <c r="R28">
        <f t="shared" si="9"/>
        <v>0.75757575757575757</v>
      </c>
      <c r="T28" s="2" t="s">
        <v>22</v>
      </c>
      <c r="U28">
        <v>1</v>
      </c>
    </row>
    <row r="29" spans="1:22" x14ac:dyDescent="0.2">
      <c r="A29" s="2" t="s">
        <v>23</v>
      </c>
      <c r="Q29" s="9">
        <f>SUM(B29:P29)</f>
        <v>0</v>
      </c>
      <c r="R29">
        <f t="shared" si="9"/>
        <v>0</v>
      </c>
      <c r="T29" s="2" t="s">
        <v>23</v>
      </c>
      <c r="U29">
        <v>0</v>
      </c>
    </row>
    <row r="30" spans="1:22" s="2" customFormat="1" x14ac:dyDescent="0.2">
      <c r="A30" s="3" t="s">
        <v>7</v>
      </c>
      <c r="B30" s="3">
        <f t="shared" ref="B30:P30" si="11">(B23)</f>
        <v>0</v>
      </c>
      <c r="C30" s="3">
        <f t="shared" si="11"/>
        <v>0</v>
      </c>
      <c r="D30" s="3">
        <f t="shared" si="11"/>
        <v>0</v>
      </c>
      <c r="E30" s="3">
        <f t="shared" si="11"/>
        <v>0</v>
      </c>
      <c r="F30" s="3">
        <f t="shared" si="11"/>
        <v>0</v>
      </c>
      <c r="G30" s="3">
        <f t="shared" si="11"/>
        <v>0</v>
      </c>
      <c r="H30" s="3">
        <f t="shared" si="11"/>
        <v>0</v>
      </c>
      <c r="I30" s="3">
        <f t="shared" si="11"/>
        <v>0</v>
      </c>
      <c r="J30" s="3">
        <f t="shared" si="11"/>
        <v>0</v>
      </c>
      <c r="K30" s="3">
        <f t="shared" si="11"/>
        <v>0</v>
      </c>
      <c r="L30" s="3">
        <f t="shared" si="11"/>
        <v>0</v>
      </c>
      <c r="M30" s="3">
        <f t="shared" si="11"/>
        <v>0</v>
      </c>
      <c r="N30" s="3">
        <f t="shared" si="11"/>
        <v>0</v>
      </c>
      <c r="O30" s="3">
        <f t="shared" si="11"/>
        <v>0</v>
      </c>
      <c r="P30" s="3">
        <f t="shared" si="11"/>
        <v>0</v>
      </c>
      <c r="Q30" s="6">
        <f>SUM(Q24:Q29)</f>
        <v>132</v>
      </c>
      <c r="R30" s="2" t="s">
        <v>17</v>
      </c>
      <c r="T30" s="3" t="s">
        <v>7</v>
      </c>
      <c r="U30" s="2">
        <v>132</v>
      </c>
    </row>
    <row r="31" spans="1:22" x14ac:dyDescent="0.2">
      <c r="Q31" s="9"/>
    </row>
    <row r="32" spans="1:22" s="1" customFormat="1" x14ac:dyDescent="0.2">
      <c r="A32" s="4" t="s">
        <v>11</v>
      </c>
      <c r="B32" s="4">
        <f>(B22+B16+B11+B7)</f>
        <v>100</v>
      </c>
      <c r="C32" s="4">
        <f t="shared" ref="C32:P32" si="12">(C22+C16+C11+C7)</f>
        <v>100</v>
      </c>
      <c r="D32" s="4">
        <f t="shared" si="12"/>
        <v>100</v>
      </c>
      <c r="E32" s="4">
        <f t="shared" si="12"/>
        <v>100</v>
      </c>
      <c r="F32" s="4">
        <f t="shared" si="12"/>
        <v>100</v>
      </c>
      <c r="G32" s="4">
        <f t="shared" si="12"/>
        <v>100</v>
      </c>
      <c r="H32" s="4">
        <f t="shared" si="12"/>
        <v>100</v>
      </c>
      <c r="I32" s="4">
        <f t="shared" si="12"/>
        <v>100</v>
      </c>
      <c r="J32" s="4">
        <f t="shared" si="12"/>
        <v>100</v>
      </c>
      <c r="K32" s="4">
        <f t="shared" si="12"/>
        <v>100</v>
      </c>
      <c r="L32" s="4">
        <f t="shared" si="12"/>
        <v>100</v>
      </c>
      <c r="M32" s="4">
        <f t="shared" si="12"/>
        <v>100</v>
      </c>
      <c r="N32" s="4">
        <f t="shared" si="12"/>
        <v>100</v>
      </c>
      <c r="O32" s="4">
        <f t="shared" si="12"/>
        <v>100</v>
      </c>
      <c r="P32" s="4">
        <f t="shared" si="12"/>
        <v>100</v>
      </c>
      <c r="Q32" s="7">
        <f>SUM(Q22+Q16+Q11+Q7)</f>
        <v>100</v>
      </c>
    </row>
    <row r="36" spans="1:3" x14ac:dyDescent="0.2">
      <c r="A36" s="4" t="s">
        <v>64</v>
      </c>
    </row>
    <row r="37" spans="1:3" x14ac:dyDescent="0.2">
      <c r="A37" s="1" t="s">
        <v>12</v>
      </c>
      <c r="B37" t="s">
        <v>24</v>
      </c>
      <c r="C37" t="s">
        <v>0</v>
      </c>
    </row>
    <row r="38" spans="1:3" x14ac:dyDescent="0.2">
      <c r="A38" t="s">
        <v>2</v>
      </c>
      <c r="B38">
        <v>11</v>
      </c>
      <c r="C38">
        <f>B38/B$42*100</f>
        <v>36.666666666666664</v>
      </c>
    </row>
    <row r="39" spans="1:3" x14ac:dyDescent="0.2">
      <c r="A39" t="s">
        <v>3</v>
      </c>
      <c r="B39">
        <v>9</v>
      </c>
      <c r="C39">
        <f t="shared" ref="C39:C42" si="13">B39/B$42*100</f>
        <v>30</v>
      </c>
    </row>
    <row r="40" spans="1:3" x14ac:dyDescent="0.2">
      <c r="A40" t="s">
        <v>4</v>
      </c>
      <c r="B40">
        <v>9</v>
      </c>
      <c r="C40">
        <f t="shared" si="13"/>
        <v>30</v>
      </c>
    </row>
    <row r="41" spans="1:3" x14ac:dyDescent="0.2">
      <c r="A41" t="s">
        <v>5</v>
      </c>
      <c r="B41">
        <v>1</v>
      </c>
      <c r="C41">
        <f t="shared" si="13"/>
        <v>3.3333333333333335</v>
      </c>
    </row>
    <row r="42" spans="1:3" x14ac:dyDescent="0.2">
      <c r="A42" s="1" t="s">
        <v>13</v>
      </c>
      <c r="B42">
        <f>(B41+B40+B39+B38)</f>
        <v>30</v>
      </c>
      <c r="C42">
        <f t="shared" si="13"/>
        <v>100</v>
      </c>
    </row>
    <row r="45" spans="1:3" x14ac:dyDescent="0.2">
      <c r="A45" t="s">
        <v>69</v>
      </c>
    </row>
    <row r="46" spans="1:3" x14ac:dyDescent="0.2">
      <c r="A46" t="s">
        <v>67</v>
      </c>
    </row>
    <row r="47" spans="1:3" x14ac:dyDescent="0.2">
      <c r="A47" t="s">
        <v>68</v>
      </c>
    </row>
  </sheetData>
  <conditionalFormatting sqref="B42">
    <cfRule type="cellIs" dxfId="23" priority="1" operator="lessThan">
      <formula>30</formula>
    </cfRule>
    <cfRule type="cellIs" dxfId="22" priority="2" operator="equal">
      <formula>30</formula>
    </cfRule>
  </conditionalFormatting>
  <conditionalFormatting sqref="B32:P32">
    <cfRule type="cellIs" dxfId="21" priority="3" operator="lessThan">
      <formula>100</formula>
    </cfRule>
    <cfRule type="cellIs" dxfId="20" priority="4" operator="equal">
      <formula>100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BC47-F4AC-5646-B1C6-B0ECB2479329}">
  <sheetPr>
    <tabColor rgb="FF92D050"/>
  </sheetPr>
  <dimension ref="A1:V44"/>
  <sheetViews>
    <sheetView workbookViewId="0">
      <selection activeCell="U9" sqref="U9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" bestFit="1" customWidth="1"/>
  </cols>
  <sheetData>
    <row r="1" spans="1:22" x14ac:dyDescent="0.2">
      <c r="A1" s="4" t="s">
        <v>70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</row>
    <row r="2" spans="1:22" x14ac:dyDescent="0.2">
      <c r="A2" s="1" t="s">
        <v>1</v>
      </c>
      <c r="B2">
        <v>50</v>
      </c>
      <c r="C2">
        <v>55</v>
      </c>
      <c r="D2">
        <v>60</v>
      </c>
      <c r="E2">
        <v>40</v>
      </c>
      <c r="F2">
        <v>50</v>
      </c>
      <c r="G2">
        <v>50</v>
      </c>
      <c r="H2">
        <v>60</v>
      </c>
      <c r="I2">
        <v>65</v>
      </c>
      <c r="J2">
        <v>50</v>
      </c>
      <c r="K2">
        <v>50</v>
      </c>
      <c r="L2">
        <v>60</v>
      </c>
      <c r="M2">
        <v>60</v>
      </c>
      <c r="N2">
        <v>60</v>
      </c>
      <c r="O2">
        <v>60</v>
      </c>
      <c r="P2">
        <v>50</v>
      </c>
      <c r="Q2" s="8"/>
    </row>
    <row r="3" spans="1:22" x14ac:dyDescent="0.2">
      <c r="Q3" s="9"/>
      <c r="T3" s="1" t="s">
        <v>1</v>
      </c>
    </row>
    <row r="4" spans="1:22" x14ac:dyDescent="0.2">
      <c r="Q4" s="9"/>
    </row>
    <row r="5" spans="1:22" x14ac:dyDescent="0.2">
      <c r="Q5" s="9"/>
    </row>
    <row r="6" spans="1:22" x14ac:dyDescent="0.2">
      <c r="Q6" s="9"/>
    </row>
    <row r="7" spans="1:22" s="2" customFormat="1" x14ac:dyDescent="0.2">
      <c r="A7" s="3" t="s">
        <v>7</v>
      </c>
      <c r="B7" s="3">
        <f>(B2+B3)</f>
        <v>50</v>
      </c>
      <c r="C7" s="3">
        <f t="shared" ref="C7:P7" si="0">(C2+C3)</f>
        <v>55</v>
      </c>
      <c r="D7" s="3">
        <f t="shared" si="0"/>
        <v>60</v>
      </c>
      <c r="E7" s="3">
        <f t="shared" si="0"/>
        <v>40</v>
      </c>
      <c r="F7" s="3">
        <f t="shared" si="0"/>
        <v>50</v>
      </c>
      <c r="G7" s="3">
        <f t="shared" si="0"/>
        <v>50</v>
      </c>
      <c r="H7" s="3">
        <f t="shared" si="0"/>
        <v>60</v>
      </c>
      <c r="I7" s="3">
        <f t="shared" si="0"/>
        <v>65</v>
      </c>
      <c r="J7" s="3">
        <f t="shared" si="0"/>
        <v>50</v>
      </c>
      <c r="K7" s="3">
        <f t="shared" si="0"/>
        <v>50</v>
      </c>
      <c r="L7" s="3">
        <f t="shared" si="0"/>
        <v>60</v>
      </c>
      <c r="M7" s="3">
        <f t="shared" si="0"/>
        <v>60</v>
      </c>
      <c r="N7" s="3">
        <f t="shared" si="0"/>
        <v>60</v>
      </c>
      <c r="O7" s="3">
        <f t="shared" si="0"/>
        <v>60</v>
      </c>
      <c r="P7" s="3">
        <f t="shared" si="0"/>
        <v>50</v>
      </c>
      <c r="Q7" s="5">
        <f>AVERAGE(B7:P7)</f>
        <v>54.666666666666664</v>
      </c>
      <c r="R7" s="2" t="s">
        <v>16</v>
      </c>
      <c r="T7"/>
    </row>
    <row r="8" spans="1:22" x14ac:dyDescent="0.2">
      <c r="A8" s="1" t="s">
        <v>6</v>
      </c>
      <c r="B8">
        <v>5</v>
      </c>
      <c r="C8">
        <v>10</v>
      </c>
      <c r="D8">
        <v>5</v>
      </c>
      <c r="E8">
        <v>5</v>
      </c>
      <c r="J8">
        <v>10</v>
      </c>
      <c r="K8">
        <v>10</v>
      </c>
      <c r="N8">
        <v>5</v>
      </c>
      <c r="O8">
        <v>10</v>
      </c>
      <c r="Q8" s="9">
        <f>SUM(B8:P8)</f>
        <v>60</v>
      </c>
      <c r="T8" s="19" t="s">
        <v>7</v>
      </c>
      <c r="U8">
        <f>Q7</f>
        <v>54.666666666666664</v>
      </c>
    </row>
    <row r="9" spans="1:22" x14ac:dyDescent="0.2">
      <c r="A9" t="s">
        <v>34</v>
      </c>
      <c r="Q9" s="9">
        <f t="shared" ref="Q9" si="1">SUM(B9:P9)</f>
        <v>0</v>
      </c>
      <c r="T9" s="1" t="s">
        <v>6</v>
      </c>
      <c r="U9">
        <f>Q8/V$12*100</f>
        <v>35.294117647058826</v>
      </c>
    </row>
    <row r="10" spans="1:22" x14ac:dyDescent="0.2">
      <c r="A10" t="s">
        <v>47</v>
      </c>
      <c r="B10">
        <v>10</v>
      </c>
      <c r="C10">
        <v>10</v>
      </c>
      <c r="D10">
        <v>5</v>
      </c>
      <c r="E10">
        <v>10</v>
      </c>
      <c r="F10">
        <v>5</v>
      </c>
      <c r="G10">
        <v>5</v>
      </c>
      <c r="H10">
        <v>5</v>
      </c>
      <c r="I10">
        <v>5</v>
      </c>
      <c r="J10">
        <v>5</v>
      </c>
      <c r="K10">
        <v>10</v>
      </c>
      <c r="L10">
        <v>10</v>
      </c>
      <c r="M10">
        <v>10</v>
      </c>
      <c r="N10">
        <v>10</v>
      </c>
      <c r="O10">
        <v>5</v>
      </c>
      <c r="P10">
        <v>5</v>
      </c>
      <c r="Q10" s="9">
        <f>SUM(B10:P10)</f>
        <v>110</v>
      </c>
      <c r="T10" t="s">
        <v>34</v>
      </c>
      <c r="U10">
        <f t="shared" ref="U10:U11" si="2">Q9/V$12*100</f>
        <v>0</v>
      </c>
    </row>
    <row r="11" spans="1:22" s="2" customFormat="1" x14ac:dyDescent="0.2">
      <c r="A11" s="3" t="s">
        <v>7</v>
      </c>
      <c r="B11" s="3">
        <f>(B8+B9+B10)</f>
        <v>15</v>
      </c>
      <c r="C11" s="3">
        <f t="shared" ref="C11:P11" si="3">(C8+C9+C10)</f>
        <v>20</v>
      </c>
      <c r="D11" s="3">
        <f t="shared" si="3"/>
        <v>10</v>
      </c>
      <c r="E11" s="3">
        <f t="shared" si="3"/>
        <v>15</v>
      </c>
      <c r="F11" s="3">
        <f t="shared" si="3"/>
        <v>5</v>
      </c>
      <c r="G11" s="3">
        <f t="shared" si="3"/>
        <v>5</v>
      </c>
      <c r="H11" s="3">
        <f t="shared" si="3"/>
        <v>5</v>
      </c>
      <c r="I11" s="3">
        <f t="shared" si="3"/>
        <v>5</v>
      </c>
      <c r="J11" s="3">
        <f t="shared" si="3"/>
        <v>15</v>
      </c>
      <c r="K11" s="3">
        <f t="shared" si="3"/>
        <v>20</v>
      </c>
      <c r="L11" s="3">
        <f t="shared" si="3"/>
        <v>10</v>
      </c>
      <c r="M11" s="3">
        <f t="shared" si="3"/>
        <v>10</v>
      </c>
      <c r="N11" s="3">
        <f t="shared" si="3"/>
        <v>15</v>
      </c>
      <c r="O11" s="3">
        <f t="shared" si="3"/>
        <v>15</v>
      </c>
      <c r="P11" s="3">
        <f t="shared" si="3"/>
        <v>5</v>
      </c>
      <c r="Q11" s="5">
        <f>AVERAGE(B11:P11)</f>
        <v>11.333333333333334</v>
      </c>
      <c r="R11" s="2" t="s">
        <v>16</v>
      </c>
      <c r="T11" t="s">
        <v>47</v>
      </c>
      <c r="U11">
        <f t="shared" si="2"/>
        <v>64.705882352941174</v>
      </c>
    </row>
    <row r="12" spans="1:22" x14ac:dyDescent="0.2">
      <c r="A12" s="1" t="s">
        <v>8</v>
      </c>
      <c r="B12">
        <v>30</v>
      </c>
      <c r="C12">
        <v>20</v>
      </c>
      <c r="D12">
        <v>25</v>
      </c>
      <c r="E12">
        <v>40</v>
      </c>
      <c r="F12">
        <v>40</v>
      </c>
      <c r="G12">
        <v>40</v>
      </c>
      <c r="H12">
        <v>30</v>
      </c>
      <c r="I12">
        <v>25</v>
      </c>
      <c r="J12">
        <v>30</v>
      </c>
      <c r="K12">
        <v>25</v>
      </c>
      <c r="L12">
        <v>25</v>
      </c>
      <c r="M12">
        <v>25</v>
      </c>
      <c r="N12">
        <v>20</v>
      </c>
      <c r="O12">
        <v>20</v>
      </c>
      <c r="P12">
        <v>40</v>
      </c>
      <c r="Q12" s="9"/>
      <c r="T12" s="19" t="s">
        <v>7</v>
      </c>
      <c r="U12">
        <f>Q11</f>
        <v>11.333333333333334</v>
      </c>
      <c r="V12">
        <f>SUM(Q8:Q10)</f>
        <v>170</v>
      </c>
    </row>
    <row r="13" spans="1:22" x14ac:dyDescent="0.2">
      <c r="A13" s="1"/>
      <c r="Q13" s="9"/>
      <c r="T13" s="1" t="s">
        <v>8</v>
      </c>
    </row>
    <row r="14" spans="1:22" x14ac:dyDescent="0.2">
      <c r="A14" s="1"/>
      <c r="Q14" s="9"/>
      <c r="T14" s="1"/>
    </row>
    <row r="15" spans="1:22" x14ac:dyDescent="0.2">
      <c r="Q15" s="9"/>
      <c r="T15" s="1"/>
    </row>
    <row r="16" spans="1:22" s="2" customFormat="1" x14ac:dyDescent="0.2">
      <c r="A16" s="3" t="s">
        <v>7</v>
      </c>
      <c r="B16" s="3">
        <f>(B12)</f>
        <v>30</v>
      </c>
      <c r="C16" s="3">
        <f t="shared" ref="C16:P16" si="4">(C12)</f>
        <v>20</v>
      </c>
      <c r="D16" s="3">
        <f t="shared" si="4"/>
        <v>25</v>
      </c>
      <c r="E16" s="3">
        <f t="shared" si="4"/>
        <v>40</v>
      </c>
      <c r="F16" s="3">
        <f t="shared" si="4"/>
        <v>40</v>
      </c>
      <c r="G16" s="3">
        <f t="shared" si="4"/>
        <v>40</v>
      </c>
      <c r="H16" s="3">
        <f t="shared" si="4"/>
        <v>30</v>
      </c>
      <c r="I16" s="3">
        <f t="shared" si="4"/>
        <v>25</v>
      </c>
      <c r="J16" s="3">
        <f>(J12)</f>
        <v>30</v>
      </c>
      <c r="K16" s="3">
        <f t="shared" si="4"/>
        <v>25</v>
      </c>
      <c r="L16" s="3">
        <f t="shared" si="4"/>
        <v>25</v>
      </c>
      <c r="M16" s="3">
        <f t="shared" si="4"/>
        <v>25</v>
      </c>
      <c r="N16" s="3">
        <f t="shared" si="4"/>
        <v>20</v>
      </c>
      <c r="O16" s="3">
        <f t="shared" si="4"/>
        <v>20</v>
      </c>
      <c r="P16" s="3">
        <f t="shared" si="4"/>
        <v>40</v>
      </c>
      <c r="Q16" s="5">
        <f>AVERAGE(B16:P16)</f>
        <v>29</v>
      </c>
      <c r="R16" s="2" t="s">
        <v>16</v>
      </c>
      <c r="T16"/>
    </row>
    <row r="17" spans="1:22" x14ac:dyDescent="0.2">
      <c r="A17" s="1" t="s">
        <v>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 s="9">
        <f>SUM(B17:P17)</f>
        <v>75</v>
      </c>
      <c r="T17" s="19" t="s">
        <v>7</v>
      </c>
      <c r="U17">
        <f>Q16</f>
        <v>29</v>
      </c>
    </row>
    <row r="18" spans="1:22" x14ac:dyDescent="0.2">
      <c r="A18" s="2" t="s">
        <v>14</v>
      </c>
      <c r="Q18" s="9">
        <f t="shared" ref="Q18:Q19" si="5">SUM(B18:P18)</f>
        <v>0</v>
      </c>
      <c r="T18" s="1" t="s">
        <v>9</v>
      </c>
      <c r="U18">
        <f>Q17/V$24*100</f>
        <v>100</v>
      </c>
    </row>
    <row r="19" spans="1:22" x14ac:dyDescent="0.2">
      <c r="A19" t="s">
        <v>26</v>
      </c>
      <c r="Q19" s="9">
        <f t="shared" si="5"/>
        <v>0</v>
      </c>
      <c r="R19" t="s">
        <v>42</v>
      </c>
      <c r="T19" s="2" t="s">
        <v>14</v>
      </c>
    </row>
    <row r="20" spans="1:22" x14ac:dyDescent="0.2">
      <c r="Q20" s="9"/>
      <c r="T20" t="s">
        <v>26</v>
      </c>
    </row>
    <row r="21" spans="1:22" s="2" customFormat="1" x14ac:dyDescent="0.2">
      <c r="A21" s="3" t="s">
        <v>7</v>
      </c>
      <c r="B21" s="3">
        <f>(B17+B18)</f>
        <v>5</v>
      </c>
      <c r="C21" s="3">
        <f t="shared" ref="C21:P21" si="6">(C17+C18)</f>
        <v>5</v>
      </c>
      <c r="D21" s="3">
        <f t="shared" si="6"/>
        <v>5</v>
      </c>
      <c r="E21" s="3">
        <f t="shared" si="6"/>
        <v>5</v>
      </c>
      <c r="F21" s="3">
        <f t="shared" si="6"/>
        <v>5</v>
      </c>
      <c r="G21" s="3">
        <f t="shared" si="6"/>
        <v>5</v>
      </c>
      <c r="H21" s="3">
        <f t="shared" si="6"/>
        <v>5</v>
      </c>
      <c r="I21" s="3">
        <f t="shared" si="6"/>
        <v>5</v>
      </c>
      <c r="J21" s="3">
        <f t="shared" si="6"/>
        <v>5</v>
      </c>
      <c r="K21" s="3">
        <f t="shared" si="6"/>
        <v>5</v>
      </c>
      <c r="L21" s="3">
        <f t="shared" si="6"/>
        <v>5</v>
      </c>
      <c r="M21" s="3">
        <f t="shared" si="6"/>
        <v>5</v>
      </c>
      <c r="N21" s="3">
        <f t="shared" si="6"/>
        <v>5</v>
      </c>
      <c r="O21" s="3">
        <f t="shared" si="6"/>
        <v>5</v>
      </c>
      <c r="P21" s="3">
        <f t="shared" si="6"/>
        <v>5</v>
      </c>
      <c r="Q21" s="5">
        <f>AVERAGE(B21:P21)</f>
        <v>5</v>
      </c>
      <c r="R21" s="2" t="s">
        <v>16</v>
      </c>
      <c r="T21" t="s">
        <v>65</v>
      </c>
    </row>
    <row r="22" spans="1:22" x14ac:dyDescent="0.2">
      <c r="A22" s="1" t="s">
        <v>10</v>
      </c>
      <c r="Q22" s="11" t="s">
        <v>39</v>
      </c>
      <c r="R22" s="12" t="s">
        <v>38</v>
      </c>
      <c r="T22" t="s">
        <v>66</v>
      </c>
    </row>
    <row r="23" spans="1:22" x14ac:dyDescent="0.2">
      <c r="A23" s="2" t="s">
        <v>18</v>
      </c>
      <c r="B23">
        <v>6</v>
      </c>
      <c r="C23">
        <v>4</v>
      </c>
      <c r="D23">
        <v>5</v>
      </c>
      <c r="E23">
        <v>10</v>
      </c>
      <c r="F23">
        <v>9</v>
      </c>
      <c r="G23">
        <v>3</v>
      </c>
      <c r="H23">
        <v>6</v>
      </c>
      <c r="I23">
        <v>7</v>
      </c>
      <c r="J23">
        <v>9</v>
      </c>
      <c r="K23">
        <v>4</v>
      </c>
      <c r="L23">
        <v>13</v>
      </c>
      <c r="M23">
        <v>11</v>
      </c>
      <c r="N23">
        <v>10</v>
      </c>
      <c r="O23">
        <v>7</v>
      </c>
      <c r="P23">
        <v>5</v>
      </c>
      <c r="Q23" s="9">
        <f>SUM(B23:P23)</f>
        <v>109</v>
      </c>
      <c r="R23">
        <f>Q23/Q$29*100</f>
        <v>99.090909090909093</v>
      </c>
      <c r="T23" t="s">
        <v>89</v>
      </c>
    </row>
    <row r="24" spans="1:22" x14ac:dyDescent="0.2">
      <c r="A24" s="2" t="s">
        <v>19</v>
      </c>
      <c r="F24">
        <v>1</v>
      </c>
      <c r="Q24" s="9">
        <f t="shared" ref="Q24:Q27" si="7">SUM(B24:P24)</f>
        <v>1</v>
      </c>
      <c r="R24">
        <f t="shared" ref="R24:R28" si="8">Q24/Q$29*100</f>
        <v>0.90909090909090906</v>
      </c>
      <c r="T24" s="19" t="s">
        <v>7</v>
      </c>
      <c r="U24">
        <f>Q21</f>
        <v>5</v>
      </c>
      <c r="V24">
        <f>SUM(Q17:Q19)</f>
        <v>75</v>
      </c>
    </row>
    <row r="25" spans="1:22" x14ac:dyDescent="0.2">
      <c r="A25" s="2" t="s">
        <v>20</v>
      </c>
      <c r="Q25" s="9">
        <f t="shared" si="7"/>
        <v>0</v>
      </c>
      <c r="R25">
        <f t="shared" si="8"/>
        <v>0</v>
      </c>
      <c r="T25" s="1" t="s">
        <v>10</v>
      </c>
    </row>
    <row r="26" spans="1:22" x14ac:dyDescent="0.2">
      <c r="A26" s="2" t="s">
        <v>21</v>
      </c>
      <c r="Q26" s="9">
        <f t="shared" si="7"/>
        <v>0</v>
      </c>
      <c r="R26">
        <f t="shared" si="8"/>
        <v>0</v>
      </c>
      <c r="T26" s="2" t="s">
        <v>18</v>
      </c>
      <c r="U26" cm="1">
        <f t="array" ref="U26:U32">Q23:Q29</f>
        <v>109</v>
      </c>
    </row>
    <row r="27" spans="1:22" x14ac:dyDescent="0.2">
      <c r="A27" s="2" t="s">
        <v>22</v>
      </c>
      <c r="Q27" s="9">
        <f t="shared" si="7"/>
        <v>0</v>
      </c>
      <c r="R27">
        <f t="shared" si="8"/>
        <v>0</v>
      </c>
      <c r="T27" s="2" t="s">
        <v>19</v>
      </c>
      <c r="U27">
        <v>1</v>
      </c>
    </row>
    <row r="28" spans="1:22" x14ac:dyDescent="0.2">
      <c r="A28" s="2" t="s">
        <v>23</v>
      </c>
      <c r="Q28" s="9">
        <f>SUM(B28:P28)</f>
        <v>0</v>
      </c>
      <c r="R28">
        <f t="shared" si="8"/>
        <v>0</v>
      </c>
      <c r="T28" s="2" t="s">
        <v>20</v>
      </c>
      <c r="U28">
        <v>0</v>
      </c>
    </row>
    <row r="29" spans="1:22" s="2" customFormat="1" x14ac:dyDescent="0.2">
      <c r="A29" s="3" t="s">
        <v>7</v>
      </c>
      <c r="B29" s="3">
        <f t="shared" ref="B29:P29" si="9">(B22)</f>
        <v>0</v>
      </c>
      <c r="C29" s="3">
        <f t="shared" si="9"/>
        <v>0</v>
      </c>
      <c r="D29" s="3">
        <f t="shared" si="9"/>
        <v>0</v>
      </c>
      <c r="E29" s="3">
        <f t="shared" si="9"/>
        <v>0</v>
      </c>
      <c r="F29" s="3">
        <f t="shared" si="9"/>
        <v>0</v>
      </c>
      <c r="G29" s="3">
        <f t="shared" si="9"/>
        <v>0</v>
      </c>
      <c r="H29" s="3">
        <f t="shared" si="9"/>
        <v>0</v>
      </c>
      <c r="I29" s="3">
        <f t="shared" si="9"/>
        <v>0</v>
      </c>
      <c r="J29" s="3">
        <f t="shared" si="9"/>
        <v>0</v>
      </c>
      <c r="K29" s="3">
        <f t="shared" si="9"/>
        <v>0</v>
      </c>
      <c r="L29" s="3">
        <f t="shared" si="9"/>
        <v>0</v>
      </c>
      <c r="M29" s="3">
        <f t="shared" si="9"/>
        <v>0</v>
      </c>
      <c r="N29" s="3">
        <f t="shared" si="9"/>
        <v>0</v>
      </c>
      <c r="O29" s="3">
        <f t="shared" si="9"/>
        <v>0</v>
      </c>
      <c r="P29" s="3">
        <f t="shared" si="9"/>
        <v>0</v>
      </c>
      <c r="Q29" s="6">
        <f>SUM(Q23:Q28)</f>
        <v>110</v>
      </c>
      <c r="R29" s="2" t="s">
        <v>17</v>
      </c>
      <c r="T29" s="2" t="s">
        <v>21</v>
      </c>
      <c r="U29" s="2">
        <v>0</v>
      </c>
    </row>
    <row r="30" spans="1:22" x14ac:dyDescent="0.2">
      <c r="Q30" s="9"/>
      <c r="T30" s="2" t="s">
        <v>22</v>
      </c>
      <c r="U30">
        <v>0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0">(C21+C16+C11+C7)</f>
        <v>100</v>
      </c>
      <c r="D31" s="4">
        <f t="shared" si="10"/>
        <v>100</v>
      </c>
      <c r="E31" s="4">
        <f t="shared" si="10"/>
        <v>100</v>
      </c>
      <c r="F31" s="4">
        <f t="shared" si="10"/>
        <v>100</v>
      </c>
      <c r="G31" s="4">
        <f t="shared" si="10"/>
        <v>100</v>
      </c>
      <c r="H31" s="4">
        <f t="shared" si="10"/>
        <v>100</v>
      </c>
      <c r="I31" s="4">
        <f t="shared" si="10"/>
        <v>100</v>
      </c>
      <c r="J31" s="4">
        <f t="shared" si="10"/>
        <v>100</v>
      </c>
      <c r="K31" s="4">
        <f t="shared" si="10"/>
        <v>100</v>
      </c>
      <c r="L31" s="4">
        <f t="shared" si="10"/>
        <v>100</v>
      </c>
      <c r="M31" s="4">
        <f t="shared" si="10"/>
        <v>100</v>
      </c>
      <c r="N31" s="4">
        <f t="shared" si="10"/>
        <v>100</v>
      </c>
      <c r="O31" s="4">
        <f t="shared" si="10"/>
        <v>100</v>
      </c>
      <c r="P31" s="4">
        <f t="shared" si="10"/>
        <v>100</v>
      </c>
      <c r="Q31" s="7">
        <f>SUM(Q21+Q16+Q11+Q7)</f>
        <v>100</v>
      </c>
      <c r="T31" s="2" t="s">
        <v>23</v>
      </c>
      <c r="U31" s="1">
        <v>0</v>
      </c>
    </row>
    <row r="32" spans="1:22" x14ac:dyDescent="0.2">
      <c r="T32" s="3" t="s">
        <v>7</v>
      </c>
      <c r="U32">
        <v>110</v>
      </c>
    </row>
    <row r="35" spans="1:3" x14ac:dyDescent="0.2">
      <c r="A35" s="4" t="s">
        <v>70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B37">
        <v>11</v>
      </c>
      <c r="C37">
        <f>B37/B$41*100</f>
        <v>36.666666666666664</v>
      </c>
    </row>
    <row r="38" spans="1:3" x14ac:dyDescent="0.2">
      <c r="A38" t="s">
        <v>3</v>
      </c>
      <c r="B38">
        <v>7</v>
      </c>
      <c r="C38">
        <f>B38/B$41*100</f>
        <v>23.333333333333332</v>
      </c>
    </row>
    <row r="39" spans="1:3" x14ac:dyDescent="0.2">
      <c r="A39" t="s">
        <v>4</v>
      </c>
      <c r="B39">
        <v>6</v>
      </c>
      <c r="C39">
        <f t="shared" ref="C39:C41" si="11">B39/B$41*100</f>
        <v>20</v>
      </c>
    </row>
    <row r="40" spans="1:3" x14ac:dyDescent="0.2">
      <c r="A40" t="s">
        <v>5</v>
      </c>
      <c r="B40">
        <v>6</v>
      </c>
      <c r="C40">
        <f t="shared" si="11"/>
        <v>20</v>
      </c>
    </row>
    <row r="41" spans="1:3" x14ac:dyDescent="0.2">
      <c r="A41" s="1" t="s">
        <v>13</v>
      </c>
      <c r="B41">
        <f>(B40+B39+B38+B37)</f>
        <v>30</v>
      </c>
      <c r="C41">
        <f t="shared" si="11"/>
        <v>100</v>
      </c>
    </row>
    <row r="44" spans="1:3" x14ac:dyDescent="0.2">
      <c r="A44" s="1" t="s">
        <v>53</v>
      </c>
    </row>
  </sheetData>
  <conditionalFormatting sqref="B41">
    <cfRule type="cellIs" dxfId="19" priority="1" operator="lessThan">
      <formula>30</formula>
    </cfRule>
    <cfRule type="cellIs" dxfId="18" priority="2" operator="equal">
      <formula>30</formula>
    </cfRule>
  </conditionalFormatting>
  <conditionalFormatting sqref="B31:P31">
    <cfRule type="cellIs" dxfId="17" priority="3" operator="lessThan">
      <formula>100</formula>
    </cfRule>
    <cfRule type="cellIs" dxfId="16" priority="4" operator="equal">
      <formula>100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77B2-5BB9-5140-927E-DC55BA1ADB39}">
  <sheetPr>
    <tabColor rgb="FF92D050"/>
  </sheetPr>
  <dimension ref="A1:V44"/>
  <sheetViews>
    <sheetView zoomScale="94" workbookViewId="0">
      <pane xSplit="1" topLeftCell="B1" activePane="topRight" state="frozen"/>
      <selection pane="topRight" activeCell="U7" sqref="U7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.1640625" bestFit="1" customWidth="1"/>
  </cols>
  <sheetData>
    <row r="1" spans="1:22" x14ac:dyDescent="0.2">
      <c r="A1" s="4" t="s">
        <v>15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T1" s="1" t="s">
        <v>1</v>
      </c>
    </row>
    <row r="2" spans="1:22" x14ac:dyDescent="0.2">
      <c r="A2" s="1" t="s">
        <v>1</v>
      </c>
      <c r="B2">
        <v>50</v>
      </c>
      <c r="C2">
        <v>60</v>
      </c>
      <c r="D2">
        <v>45</v>
      </c>
      <c r="E2">
        <v>35</v>
      </c>
      <c r="F2">
        <v>45</v>
      </c>
      <c r="G2">
        <v>50</v>
      </c>
      <c r="H2">
        <v>40</v>
      </c>
      <c r="I2">
        <v>50</v>
      </c>
      <c r="J2">
        <v>45</v>
      </c>
      <c r="K2">
        <v>50</v>
      </c>
      <c r="L2">
        <v>50</v>
      </c>
      <c r="M2">
        <v>40</v>
      </c>
      <c r="N2">
        <v>30</v>
      </c>
      <c r="O2">
        <v>30</v>
      </c>
      <c r="P2">
        <v>40</v>
      </c>
      <c r="Q2" s="8"/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  <c r="T6" s="19" t="s">
        <v>7</v>
      </c>
      <c r="U6">
        <f>Q7</f>
        <v>44</v>
      </c>
    </row>
    <row r="7" spans="1:22" s="2" customFormat="1" x14ac:dyDescent="0.2">
      <c r="A7" s="3" t="s">
        <v>7</v>
      </c>
      <c r="B7" s="3">
        <f>(B2+B3)</f>
        <v>50</v>
      </c>
      <c r="C7" s="3">
        <f t="shared" ref="C7:P7" si="0">(C2+C3)</f>
        <v>60</v>
      </c>
      <c r="D7" s="3">
        <f t="shared" si="0"/>
        <v>45</v>
      </c>
      <c r="E7" s="3">
        <f t="shared" si="0"/>
        <v>35</v>
      </c>
      <c r="F7" s="3">
        <f t="shared" si="0"/>
        <v>45</v>
      </c>
      <c r="G7" s="3">
        <f t="shared" si="0"/>
        <v>50</v>
      </c>
      <c r="H7" s="3">
        <f t="shared" si="0"/>
        <v>40</v>
      </c>
      <c r="I7" s="3">
        <f t="shared" si="0"/>
        <v>50</v>
      </c>
      <c r="J7" s="3">
        <f t="shared" si="0"/>
        <v>45</v>
      </c>
      <c r="K7" s="3">
        <f t="shared" si="0"/>
        <v>50</v>
      </c>
      <c r="L7" s="3">
        <f t="shared" si="0"/>
        <v>50</v>
      </c>
      <c r="M7" s="3">
        <f t="shared" si="0"/>
        <v>40</v>
      </c>
      <c r="N7" s="3">
        <f t="shared" si="0"/>
        <v>30</v>
      </c>
      <c r="O7" s="3">
        <f t="shared" si="0"/>
        <v>30</v>
      </c>
      <c r="P7" s="3">
        <f t="shared" si="0"/>
        <v>40</v>
      </c>
      <c r="Q7" s="5">
        <f>AVERAGE(B7:P7)</f>
        <v>44</v>
      </c>
      <c r="R7" s="2" t="s">
        <v>16</v>
      </c>
      <c r="T7" s="1" t="s">
        <v>6</v>
      </c>
      <c r="U7" s="2">
        <f>Q8/V$10*100</f>
        <v>50.980392156862742</v>
      </c>
    </row>
    <row r="8" spans="1:22" x14ac:dyDescent="0.2">
      <c r="A8" s="1" t="s">
        <v>6</v>
      </c>
      <c r="D8">
        <v>15</v>
      </c>
      <c r="E8">
        <v>10</v>
      </c>
      <c r="F8">
        <v>15</v>
      </c>
      <c r="G8">
        <v>5</v>
      </c>
      <c r="H8">
        <v>10</v>
      </c>
      <c r="J8">
        <v>15</v>
      </c>
      <c r="M8">
        <v>15</v>
      </c>
      <c r="N8">
        <v>20</v>
      </c>
      <c r="O8">
        <v>15</v>
      </c>
      <c r="P8">
        <v>10</v>
      </c>
      <c r="Q8" s="9">
        <f>SUM(B8:P8)</f>
        <v>130</v>
      </c>
      <c r="T8" t="s">
        <v>34</v>
      </c>
      <c r="U8" s="2">
        <f t="shared" ref="U8:U9" si="1">Q9/V$10*100</f>
        <v>0</v>
      </c>
    </row>
    <row r="9" spans="1:22" x14ac:dyDescent="0.2">
      <c r="A9" t="s">
        <v>34</v>
      </c>
      <c r="Q9" s="9">
        <f t="shared" ref="Q9:Q10" si="2">SUM(B9:P9)</f>
        <v>0</v>
      </c>
      <c r="T9" t="s">
        <v>47</v>
      </c>
      <c r="U9" s="2">
        <f t="shared" si="1"/>
        <v>49.019607843137251</v>
      </c>
    </row>
    <row r="10" spans="1:22" x14ac:dyDescent="0.2">
      <c r="A10" t="s">
        <v>47</v>
      </c>
      <c r="B10">
        <v>10</v>
      </c>
      <c r="C10">
        <v>5</v>
      </c>
      <c r="D10">
        <v>10</v>
      </c>
      <c r="E10">
        <v>5</v>
      </c>
      <c r="F10">
        <v>5</v>
      </c>
      <c r="G10">
        <v>5</v>
      </c>
      <c r="H10">
        <v>10</v>
      </c>
      <c r="I10">
        <v>10</v>
      </c>
      <c r="J10">
        <v>10</v>
      </c>
      <c r="K10">
        <v>5</v>
      </c>
      <c r="L10">
        <v>10</v>
      </c>
      <c r="M10">
        <v>10</v>
      </c>
      <c r="N10">
        <v>10</v>
      </c>
      <c r="O10">
        <v>10</v>
      </c>
      <c r="P10">
        <v>10</v>
      </c>
      <c r="Q10" s="9">
        <f t="shared" si="2"/>
        <v>125</v>
      </c>
      <c r="T10" s="19" t="s">
        <v>7</v>
      </c>
      <c r="U10">
        <f>Q11</f>
        <v>17</v>
      </c>
      <c r="V10">
        <f>SUM(Q8:Q10)</f>
        <v>255</v>
      </c>
    </row>
    <row r="11" spans="1:22" s="2" customFormat="1" x14ac:dyDescent="0.2">
      <c r="A11" s="3" t="s">
        <v>7</v>
      </c>
      <c r="B11" s="3">
        <f>(B8+B9+B10)</f>
        <v>10</v>
      </c>
      <c r="C11" s="3">
        <f t="shared" ref="C11:P11" si="3">(C8+C9+C10)</f>
        <v>5</v>
      </c>
      <c r="D11" s="3">
        <f t="shared" si="3"/>
        <v>25</v>
      </c>
      <c r="E11" s="3">
        <f t="shared" si="3"/>
        <v>15</v>
      </c>
      <c r="F11" s="3">
        <f t="shared" si="3"/>
        <v>20</v>
      </c>
      <c r="G11" s="3">
        <f t="shared" si="3"/>
        <v>10</v>
      </c>
      <c r="H11" s="3">
        <f t="shared" si="3"/>
        <v>20</v>
      </c>
      <c r="I11" s="3">
        <f t="shared" si="3"/>
        <v>10</v>
      </c>
      <c r="J11" s="3">
        <f t="shared" si="3"/>
        <v>25</v>
      </c>
      <c r="K11" s="3">
        <f t="shared" si="3"/>
        <v>5</v>
      </c>
      <c r="L11" s="3">
        <f t="shared" si="3"/>
        <v>10</v>
      </c>
      <c r="M11" s="3">
        <f t="shared" si="3"/>
        <v>25</v>
      </c>
      <c r="N11" s="3">
        <f t="shared" si="3"/>
        <v>30</v>
      </c>
      <c r="O11" s="3">
        <f t="shared" si="3"/>
        <v>25</v>
      </c>
      <c r="P11" s="3">
        <f t="shared" si="3"/>
        <v>20</v>
      </c>
      <c r="Q11" s="5">
        <f>AVERAGE(B11:P11)</f>
        <v>17</v>
      </c>
      <c r="R11" s="2" t="s">
        <v>16</v>
      </c>
      <c r="T11" s="1" t="s">
        <v>8</v>
      </c>
    </row>
    <row r="12" spans="1:22" x14ac:dyDescent="0.2">
      <c r="A12" s="1" t="s">
        <v>8</v>
      </c>
      <c r="B12">
        <v>30</v>
      </c>
      <c r="C12">
        <v>30</v>
      </c>
      <c r="D12">
        <v>25</v>
      </c>
      <c r="E12">
        <v>45</v>
      </c>
      <c r="F12">
        <v>30</v>
      </c>
      <c r="G12">
        <v>35</v>
      </c>
      <c r="H12">
        <v>30</v>
      </c>
      <c r="I12">
        <v>30</v>
      </c>
      <c r="J12">
        <v>25</v>
      </c>
      <c r="K12">
        <v>40</v>
      </c>
      <c r="L12">
        <v>35</v>
      </c>
      <c r="M12">
        <v>30</v>
      </c>
      <c r="N12">
        <v>30</v>
      </c>
      <c r="O12">
        <v>40</v>
      </c>
      <c r="P12">
        <v>35</v>
      </c>
      <c r="Q12" s="9"/>
      <c r="T12" s="1"/>
    </row>
    <row r="13" spans="1:22" x14ac:dyDescent="0.2">
      <c r="A13" s="1"/>
      <c r="Q13" s="9"/>
      <c r="T13" s="1"/>
    </row>
    <row r="14" spans="1:22" x14ac:dyDescent="0.2">
      <c r="A14" s="1"/>
      <c r="Q14" s="9"/>
    </row>
    <row r="15" spans="1:22" x14ac:dyDescent="0.2">
      <c r="Q15" s="9"/>
      <c r="T15" s="19" t="s">
        <v>7</v>
      </c>
      <c r="U15">
        <f>Q16</f>
        <v>32.666666666666664</v>
      </c>
    </row>
    <row r="16" spans="1:22" s="2" customFormat="1" x14ac:dyDescent="0.2">
      <c r="A16" s="3" t="s">
        <v>7</v>
      </c>
      <c r="B16" s="3">
        <f>(B12)</f>
        <v>30</v>
      </c>
      <c r="C16" s="3">
        <f t="shared" ref="C16:P16" si="4">(C12)</f>
        <v>30</v>
      </c>
      <c r="D16" s="3">
        <f t="shared" si="4"/>
        <v>25</v>
      </c>
      <c r="E16" s="3">
        <f t="shared" si="4"/>
        <v>45</v>
      </c>
      <c r="F16" s="3">
        <f t="shared" si="4"/>
        <v>30</v>
      </c>
      <c r="G16" s="3">
        <f t="shared" si="4"/>
        <v>35</v>
      </c>
      <c r="H16" s="3">
        <f t="shared" si="4"/>
        <v>30</v>
      </c>
      <c r="I16" s="3">
        <f t="shared" si="4"/>
        <v>30</v>
      </c>
      <c r="J16" s="3">
        <f>(J12)</f>
        <v>25</v>
      </c>
      <c r="K16" s="3">
        <f t="shared" si="4"/>
        <v>40</v>
      </c>
      <c r="L16" s="3">
        <f t="shared" si="4"/>
        <v>35</v>
      </c>
      <c r="M16" s="3">
        <f t="shared" si="4"/>
        <v>30</v>
      </c>
      <c r="N16" s="3">
        <f t="shared" si="4"/>
        <v>30</v>
      </c>
      <c r="O16" s="3">
        <f t="shared" si="4"/>
        <v>40</v>
      </c>
      <c r="P16" s="3">
        <f t="shared" si="4"/>
        <v>35</v>
      </c>
      <c r="Q16" s="5">
        <f>AVERAGE(B16:P16)</f>
        <v>32.666666666666664</v>
      </c>
      <c r="R16" s="2" t="s">
        <v>16</v>
      </c>
      <c r="T16" s="1" t="s">
        <v>9</v>
      </c>
      <c r="U16" s="2">
        <f>Q17/V$22*100</f>
        <v>31.578947368421051</v>
      </c>
    </row>
    <row r="17" spans="1:22" x14ac:dyDescent="0.2">
      <c r="A17" s="1" t="s">
        <v>9</v>
      </c>
      <c r="B17">
        <v>5</v>
      </c>
      <c r="H17">
        <v>5</v>
      </c>
      <c r="I17">
        <v>5</v>
      </c>
      <c r="K17">
        <v>5</v>
      </c>
      <c r="N17">
        <v>5</v>
      </c>
      <c r="P17">
        <v>5</v>
      </c>
      <c r="Q17" s="9">
        <f t="shared" ref="Q17:Q19" si="5">SUM(B17:P17)</f>
        <v>30</v>
      </c>
      <c r="T17" s="2" t="s">
        <v>14</v>
      </c>
      <c r="U17" s="2">
        <f>Q18/V$22*100</f>
        <v>68.421052631578945</v>
      </c>
    </row>
    <row r="18" spans="1:22" x14ac:dyDescent="0.2">
      <c r="A18" s="2" t="s">
        <v>14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L18">
        <v>5</v>
      </c>
      <c r="M18">
        <v>5</v>
      </c>
      <c r="N18">
        <v>5</v>
      </c>
      <c r="O18">
        <v>5</v>
      </c>
      <c r="Q18" s="9">
        <f t="shared" si="5"/>
        <v>65</v>
      </c>
      <c r="T18" t="s">
        <v>26</v>
      </c>
    </row>
    <row r="19" spans="1:22" x14ac:dyDescent="0.2">
      <c r="A19" t="s">
        <v>26</v>
      </c>
      <c r="Q19" s="9">
        <f t="shared" si="5"/>
        <v>0</v>
      </c>
      <c r="R19" t="s">
        <v>42</v>
      </c>
      <c r="T19" t="s">
        <v>65</v>
      </c>
    </row>
    <row r="20" spans="1:22" x14ac:dyDescent="0.2">
      <c r="Q20" s="9"/>
      <c r="T20" t="s">
        <v>66</v>
      </c>
    </row>
    <row r="21" spans="1:22" s="2" customFormat="1" x14ac:dyDescent="0.2">
      <c r="A21" s="3" t="s">
        <v>7</v>
      </c>
      <c r="B21" s="3">
        <f>(B17+B18)</f>
        <v>10</v>
      </c>
      <c r="C21" s="3">
        <f t="shared" ref="C21:P21" si="6">(C17+C18)</f>
        <v>5</v>
      </c>
      <c r="D21" s="3">
        <f t="shared" si="6"/>
        <v>5</v>
      </c>
      <c r="E21" s="3">
        <f t="shared" si="6"/>
        <v>5</v>
      </c>
      <c r="F21" s="3">
        <f t="shared" si="6"/>
        <v>5</v>
      </c>
      <c r="G21" s="3">
        <f t="shared" si="6"/>
        <v>5</v>
      </c>
      <c r="H21" s="3">
        <f t="shared" si="6"/>
        <v>10</v>
      </c>
      <c r="I21" s="3">
        <f t="shared" si="6"/>
        <v>10</v>
      </c>
      <c r="J21" s="3">
        <f t="shared" si="6"/>
        <v>5</v>
      </c>
      <c r="K21" s="3">
        <f t="shared" si="6"/>
        <v>5</v>
      </c>
      <c r="L21" s="3">
        <f t="shared" si="6"/>
        <v>5</v>
      </c>
      <c r="M21" s="3">
        <f t="shared" si="6"/>
        <v>5</v>
      </c>
      <c r="N21" s="3">
        <f t="shared" si="6"/>
        <v>10</v>
      </c>
      <c r="O21" s="3">
        <f t="shared" si="6"/>
        <v>5</v>
      </c>
      <c r="P21" s="3">
        <f t="shared" si="6"/>
        <v>5</v>
      </c>
      <c r="Q21" s="5">
        <f>AVERAGE(B21:P21)</f>
        <v>6.333333333333333</v>
      </c>
      <c r="R21" s="2" t="s">
        <v>16</v>
      </c>
      <c r="T21" t="s">
        <v>89</v>
      </c>
    </row>
    <row r="22" spans="1:22" x14ac:dyDescent="0.2">
      <c r="A22" s="1" t="s">
        <v>10</v>
      </c>
      <c r="Q22" s="11" t="s">
        <v>39</v>
      </c>
      <c r="R22" s="12" t="s">
        <v>38</v>
      </c>
      <c r="T22" s="19" t="s">
        <v>7</v>
      </c>
      <c r="U22">
        <f>Q21</f>
        <v>6.333333333333333</v>
      </c>
      <c r="V22">
        <f>SUM(Q17:Q19)</f>
        <v>95</v>
      </c>
    </row>
    <row r="23" spans="1:22" x14ac:dyDescent="0.2">
      <c r="A23" s="2" t="s">
        <v>18</v>
      </c>
      <c r="B23">
        <v>11</v>
      </c>
      <c r="C23">
        <v>2</v>
      </c>
      <c r="D23">
        <v>9</v>
      </c>
      <c r="E23">
        <v>4</v>
      </c>
      <c r="F23">
        <v>5</v>
      </c>
      <c r="G23">
        <v>6</v>
      </c>
      <c r="H23">
        <v>6</v>
      </c>
      <c r="I23">
        <v>15</v>
      </c>
      <c r="J23">
        <v>6</v>
      </c>
      <c r="K23">
        <v>5</v>
      </c>
      <c r="L23">
        <v>3</v>
      </c>
      <c r="M23">
        <v>12</v>
      </c>
      <c r="N23">
        <v>6</v>
      </c>
      <c r="O23">
        <v>8</v>
      </c>
      <c r="P23">
        <v>12</v>
      </c>
      <c r="Q23" s="9">
        <f>SUM(B23:P23)</f>
        <v>110</v>
      </c>
      <c r="R23">
        <f>Q23/Q$29*100</f>
        <v>96.491228070175438</v>
      </c>
      <c r="T23" s="1" t="s">
        <v>10</v>
      </c>
    </row>
    <row r="24" spans="1:22" x14ac:dyDescent="0.2">
      <c r="A24" s="2" t="s">
        <v>19</v>
      </c>
      <c r="C24">
        <v>1</v>
      </c>
      <c r="N24">
        <v>1</v>
      </c>
      <c r="P24">
        <v>1</v>
      </c>
      <c r="Q24" s="9">
        <f t="shared" ref="Q24:Q27" si="7">SUM(B24:P24)</f>
        <v>3</v>
      </c>
      <c r="R24">
        <f t="shared" ref="R24:R28" si="8">Q24/Q$29*100</f>
        <v>2.6315789473684208</v>
      </c>
      <c r="T24" s="2" t="s">
        <v>18</v>
      </c>
      <c r="U24" cm="1">
        <f t="array" ref="U24:U30">Q23:Q29</f>
        <v>110</v>
      </c>
    </row>
    <row r="25" spans="1:22" x14ac:dyDescent="0.2">
      <c r="A25" s="2" t="s">
        <v>20</v>
      </c>
      <c r="H25">
        <v>1</v>
      </c>
      <c r="Q25" s="9">
        <f t="shared" si="7"/>
        <v>1</v>
      </c>
      <c r="R25">
        <f t="shared" si="8"/>
        <v>0.8771929824561403</v>
      </c>
      <c r="T25" s="2" t="s">
        <v>19</v>
      </c>
      <c r="U25">
        <v>3</v>
      </c>
    </row>
    <row r="26" spans="1:22" x14ac:dyDescent="0.2">
      <c r="A26" s="2" t="s">
        <v>21</v>
      </c>
      <c r="Q26" s="9">
        <f t="shared" si="7"/>
        <v>0</v>
      </c>
      <c r="R26">
        <f t="shared" si="8"/>
        <v>0</v>
      </c>
      <c r="T26" s="2" t="s">
        <v>20</v>
      </c>
      <c r="U26">
        <v>1</v>
      </c>
    </row>
    <row r="27" spans="1:22" x14ac:dyDescent="0.2">
      <c r="A27" s="2" t="s">
        <v>22</v>
      </c>
      <c r="Q27" s="9">
        <f t="shared" si="7"/>
        <v>0</v>
      </c>
      <c r="R27">
        <f t="shared" si="8"/>
        <v>0</v>
      </c>
      <c r="T27" s="2" t="s">
        <v>21</v>
      </c>
      <c r="U27">
        <v>0</v>
      </c>
    </row>
    <row r="28" spans="1:22" x14ac:dyDescent="0.2">
      <c r="A28" s="2" t="s">
        <v>23</v>
      </c>
      <c r="Q28" s="9">
        <f>SUM(B28:P28)</f>
        <v>0</v>
      </c>
      <c r="R28">
        <f t="shared" si="8"/>
        <v>0</v>
      </c>
      <c r="T28" s="2" t="s">
        <v>22</v>
      </c>
      <c r="U28">
        <v>0</v>
      </c>
    </row>
    <row r="29" spans="1:22" s="2" customFormat="1" x14ac:dyDescent="0.2">
      <c r="A29" s="3" t="s">
        <v>7</v>
      </c>
      <c r="B29" s="3">
        <f t="shared" ref="B29:P29" si="9">(B22)</f>
        <v>0</v>
      </c>
      <c r="C29" s="3">
        <f t="shared" si="9"/>
        <v>0</v>
      </c>
      <c r="D29" s="3">
        <f t="shared" si="9"/>
        <v>0</v>
      </c>
      <c r="E29" s="3">
        <f t="shared" si="9"/>
        <v>0</v>
      </c>
      <c r="F29" s="3">
        <f t="shared" si="9"/>
        <v>0</v>
      </c>
      <c r="G29" s="3">
        <f t="shared" si="9"/>
        <v>0</v>
      </c>
      <c r="H29" s="3">
        <f t="shared" si="9"/>
        <v>0</v>
      </c>
      <c r="I29" s="3">
        <f t="shared" si="9"/>
        <v>0</v>
      </c>
      <c r="J29" s="3">
        <f t="shared" si="9"/>
        <v>0</v>
      </c>
      <c r="K29" s="3">
        <f t="shared" si="9"/>
        <v>0</v>
      </c>
      <c r="L29" s="3">
        <f t="shared" si="9"/>
        <v>0</v>
      </c>
      <c r="M29" s="3">
        <f t="shared" si="9"/>
        <v>0</v>
      </c>
      <c r="N29" s="3">
        <f t="shared" si="9"/>
        <v>0</v>
      </c>
      <c r="O29" s="3">
        <f t="shared" si="9"/>
        <v>0</v>
      </c>
      <c r="P29" s="3">
        <f t="shared" si="9"/>
        <v>0</v>
      </c>
      <c r="Q29" s="6">
        <f>SUM(Q23:Q28)</f>
        <v>114</v>
      </c>
      <c r="R29" s="2" t="s">
        <v>17</v>
      </c>
      <c r="T29" s="2" t="s">
        <v>23</v>
      </c>
      <c r="U29" s="2">
        <v>0</v>
      </c>
    </row>
    <row r="30" spans="1:22" x14ac:dyDescent="0.2">
      <c r="Q30" s="9"/>
      <c r="T30" s="3" t="s">
        <v>7</v>
      </c>
      <c r="U30">
        <v>114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0">(C21+C16+C11+C7)</f>
        <v>100</v>
      </c>
      <c r="D31" s="4">
        <f t="shared" si="10"/>
        <v>100</v>
      </c>
      <c r="E31" s="4">
        <f t="shared" si="10"/>
        <v>100</v>
      </c>
      <c r="F31" s="4">
        <f t="shared" si="10"/>
        <v>100</v>
      </c>
      <c r="G31" s="4">
        <f t="shared" si="10"/>
        <v>100</v>
      </c>
      <c r="H31" s="4">
        <f t="shared" si="10"/>
        <v>100</v>
      </c>
      <c r="I31" s="4">
        <f t="shared" si="10"/>
        <v>100</v>
      </c>
      <c r="J31" s="4">
        <f t="shared" si="10"/>
        <v>100</v>
      </c>
      <c r="K31" s="4">
        <f t="shared" si="10"/>
        <v>100</v>
      </c>
      <c r="L31" s="4">
        <f t="shared" si="10"/>
        <v>100</v>
      </c>
      <c r="M31" s="4">
        <f t="shared" si="10"/>
        <v>100</v>
      </c>
      <c r="N31" s="4">
        <f t="shared" si="10"/>
        <v>100</v>
      </c>
      <c r="O31" s="4">
        <f t="shared" si="10"/>
        <v>100</v>
      </c>
      <c r="P31" s="4">
        <f t="shared" si="10"/>
        <v>100</v>
      </c>
      <c r="Q31" s="7">
        <f>SUM(Q21+Q16+Q11+Q7)</f>
        <v>100</v>
      </c>
    </row>
    <row r="35" spans="1:3" x14ac:dyDescent="0.2">
      <c r="A35" s="4" t="s">
        <v>15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B37">
        <v>6</v>
      </c>
      <c r="C37">
        <f>B37/B$41*100</f>
        <v>20</v>
      </c>
    </row>
    <row r="38" spans="1:3" x14ac:dyDescent="0.2">
      <c r="A38" t="s">
        <v>3</v>
      </c>
      <c r="B38">
        <v>7</v>
      </c>
      <c r="C38">
        <f t="shared" ref="C38:C41" si="11">B38/B$41*100</f>
        <v>23.333333333333332</v>
      </c>
    </row>
    <row r="39" spans="1:3" x14ac:dyDescent="0.2">
      <c r="A39" t="s">
        <v>4</v>
      </c>
      <c r="B39">
        <v>12</v>
      </c>
      <c r="C39">
        <f t="shared" si="11"/>
        <v>40</v>
      </c>
    </row>
    <row r="40" spans="1:3" x14ac:dyDescent="0.2">
      <c r="A40" t="s">
        <v>5</v>
      </c>
      <c r="B40">
        <v>5</v>
      </c>
      <c r="C40">
        <f t="shared" si="11"/>
        <v>16.666666666666664</v>
      </c>
    </row>
    <row r="41" spans="1:3" x14ac:dyDescent="0.2">
      <c r="A41" s="1" t="s">
        <v>13</v>
      </c>
      <c r="B41">
        <f>(B40+B39+B38+B37)</f>
        <v>30</v>
      </c>
      <c r="C41">
        <f t="shared" si="11"/>
        <v>100</v>
      </c>
    </row>
    <row r="44" spans="1:3" x14ac:dyDescent="0.2">
      <c r="A44" s="1" t="s">
        <v>53</v>
      </c>
    </row>
  </sheetData>
  <conditionalFormatting sqref="B41">
    <cfRule type="cellIs" dxfId="15" priority="1" operator="lessThan">
      <formula>30</formula>
    </cfRule>
    <cfRule type="cellIs" dxfId="14" priority="2" operator="equal">
      <formula>30</formula>
    </cfRule>
  </conditionalFormatting>
  <conditionalFormatting sqref="B31:P31">
    <cfRule type="cellIs" dxfId="13" priority="3" operator="lessThan">
      <formula>100</formula>
    </cfRule>
    <cfRule type="cellIs" dxfId="12" priority="4" operator="equal">
      <formula>100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E587-9F85-204C-B2B6-43CF5C4FCE6A}">
  <sheetPr>
    <tabColor rgb="FF00B0F0"/>
  </sheetPr>
  <dimension ref="A1:V45"/>
  <sheetViews>
    <sheetView workbookViewId="0">
      <pane xSplit="1" topLeftCell="B1" activePane="topRight" state="frozen"/>
      <selection activeCell="A12" sqref="A12"/>
      <selection pane="topRight" activeCell="U7" sqref="U7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.1640625" bestFit="1" customWidth="1"/>
  </cols>
  <sheetData>
    <row r="1" spans="1:22" x14ac:dyDescent="0.2">
      <c r="A1" s="4" t="s">
        <v>71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R1" s="1" t="s">
        <v>74</v>
      </c>
      <c r="T1" s="1" t="s">
        <v>1</v>
      </c>
    </row>
    <row r="2" spans="1:22" x14ac:dyDescent="0.2">
      <c r="A2" s="1" t="s">
        <v>1</v>
      </c>
      <c r="B2">
        <v>40</v>
      </c>
      <c r="C2">
        <v>40</v>
      </c>
      <c r="D2">
        <v>50</v>
      </c>
      <c r="E2">
        <v>50</v>
      </c>
      <c r="F2">
        <v>50</v>
      </c>
      <c r="G2">
        <v>40</v>
      </c>
      <c r="H2">
        <v>40</v>
      </c>
      <c r="I2">
        <v>50</v>
      </c>
      <c r="J2">
        <v>40</v>
      </c>
      <c r="K2">
        <v>40</v>
      </c>
      <c r="L2">
        <v>30</v>
      </c>
      <c r="M2">
        <v>40</v>
      </c>
      <c r="N2">
        <v>45</v>
      </c>
      <c r="O2">
        <v>35</v>
      </c>
      <c r="P2">
        <v>40</v>
      </c>
      <c r="Q2" s="8"/>
      <c r="R2" t="s">
        <v>75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  <c r="T6" s="19" t="s">
        <v>7</v>
      </c>
      <c r="U6">
        <f>Q7</f>
        <v>42</v>
      </c>
    </row>
    <row r="7" spans="1:22" s="2" customFormat="1" x14ac:dyDescent="0.2">
      <c r="A7" s="3" t="s">
        <v>7</v>
      </c>
      <c r="B7" s="3">
        <f>(B2+B3)</f>
        <v>40</v>
      </c>
      <c r="C7" s="3">
        <f t="shared" ref="C7:P7" si="0">(C2+C3)</f>
        <v>40</v>
      </c>
      <c r="D7" s="3">
        <f t="shared" si="0"/>
        <v>50</v>
      </c>
      <c r="E7" s="3">
        <f t="shared" si="0"/>
        <v>50</v>
      </c>
      <c r="F7" s="3">
        <f t="shared" si="0"/>
        <v>50</v>
      </c>
      <c r="G7" s="3">
        <f t="shared" si="0"/>
        <v>40</v>
      </c>
      <c r="H7" s="3">
        <f t="shared" si="0"/>
        <v>40</v>
      </c>
      <c r="I7" s="3">
        <f t="shared" si="0"/>
        <v>50</v>
      </c>
      <c r="J7" s="3">
        <f t="shared" si="0"/>
        <v>40</v>
      </c>
      <c r="K7" s="3">
        <f t="shared" si="0"/>
        <v>40</v>
      </c>
      <c r="L7" s="3">
        <f t="shared" si="0"/>
        <v>30</v>
      </c>
      <c r="M7" s="3">
        <f t="shared" si="0"/>
        <v>40</v>
      </c>
      <c r="N7" s="3">
        <f t="shared" si="0"/>
        <v>45</v>
      </c>
      <c r="O7" s="3">
        <f t="shared" si="0"/>
        <v>35</v>
      </c>
      <c r="P7" s="3">
        <f t="shared" si="0"/>
        <v>40</v>
      </c>
      <c r="Q7" s="5">
        <f>AVERAGE(B7:P7)</f>
        <v>42</v>
      </c>
      <c r="R7" s="2" t="s">
        <v>16</v>
      </c>
      <c r="T7" s="1" t="s">
        <v>6</v>
      </c>
      <c r="U7" s="2">
        <f>Q8/V$10*100</f>
        <v>21.212121212121211</v>
      </c>
    </row>
    <row r="8" spans="1:22" x14ac:dyDescent="0.2">
      <c r="A8" s="1" t="s">
        <v>6</v>
      </c>
      <c r="D8">
        <v>5</v>
      </c>
      <c r="G8">
        <v>10</v>
      </c>
      <c r="H8">
        <v>10</v>
      </c>
      <c r="K8">
        <v>5</v>
      </c>
      <c r="P8">
        <v>5</v>
      </c>
      <c r="Q8" s="9">
        <f>SUM(B8:P8)</f>
        <v>35</v>
      </c>
      <c r="T8" t="s">
        <v>34</v>
      </c>
      <c r="U8" s="2">
        <f t="shared" ref="U8:U9" si="1">Q9/V$10*100</f>
        <v>0</v>
      </c>
    </row>
    <row r="9" spans="1:22" x14ac:dyDescent="0.2">
      <c r="A9" t="s">
        <v>34</v>
      </c>
      <c r="Q9" s="9">
        <f t="shared" ref="Q9:Q11" si="2">SUM(B9:P9)</f>
        <v>0</v>
      </c>
      <c r="T9" t="s">
        <v>47</v>
      </c>
      <c r="U9" s="2">
        <f t="shared" si="1"/>
        <v>78.787878787878782</v>
      </c>
    </row>
    <row r="10" spans="1:22" x14ac:dyDescent="0.2">
      <c r="A10" t="s">
        <v>47</v>
      </c>
      <c r="B10">
        <v>5</v>
      </c>
      <c r="C10">
        <v>10</v>
      </c>
      <c r="E10">
        <v>10</v>
      </c>
      <c r="F10">
        <v>10</v>
      </c>
      <c r="G10">
        <v>15</v>
      </c>
      <c r="H10">
        <v>10</v>
      </c>
      <c r="I10">
        <v>10</v>
      </c>
      <c r="J10">
        <v>10</v>
      </c>
      <c r="K10">
        <v>5</v>
      </c>
      <c r="L10">
        <v>10</v>
      </c>
      <c r="M10">
        <v>10</v>
      </c>
      <c r="N10">
        <v>15</v>
      </c>
      <c r="P10">
        <v>10</v>
      </c>
      <c r="Q10" s="9">
        <f t="shared" si="2"/>
        <v>130</v>
      </c>
      <c r="T10" s="19" t="s">
        <v>7</v>
      </c>
      <c r="U10">
        <f>Q12</f>
        <v>11</v>
      </c>
      <c r="V10">
        <f>SUM(Q8:Q10)</f>
        <v>165</v>
      </c>
    </row>
    <row r="11" spans="1:22" x14ac:dyDescent="0.2">
      <c r="A11" t="s">
        <v>72</v>
      </c>
      <c r="Q11" s="9">
        <f t="shared" si="2"/>
        <v>0</v>
      </c>
      <c r="T11" s="1" t="s">
        <v>8</v>
      </c>
    </row>
    <row r="12" spans="1:22" s="2" customFormat="1" x14ac:dyDescent="0.2">
      <c r="A12" s="3" t="s">
        <v>7</v>
      </c>
      <c r="B12" s="3">
        <f>(B8+B9+B10+B11)</f>
        <v>5</v>
      </c>
      <c r="C12" s="3">
        <f t="shared" ref="C12:P12" si="3">(C8+C9+C10+C11)</f>
        <v>10</v>
      </c>
      <c r="D12" s="3">
        <f t="shared" si="3"/>
        <v>5</v>
      </c>
      <c r="E12" s="3">
        <f t="shared" si="3"/>
        <v>10</v>
      </c>
      <c r="F12" s="3">
        <f t="shared" si="3"/>
        <v>10</v>
      </c>
      <c r="G12" s="3">
        <f t="shared" si="3"/>
        <v>25</v>
      </c>
      <c r="H12" s="3">
        <f t="shared" si="3"/>
        <v>20</v>
      </c>
      <c r="I12" s="3">
        <f t="shared" si="3"/>
        <v>10</v>
      </c>
      <c r="J12" s="3">
        <f t="shared" si="3"/>
        <v>10</v>
      </c>
      <c r="K12" s="3">
        <f t="shared" si="3"/>
        <v>10</v>
      </c>
      <c r="L12" s="3">
        <f t="shared" si="3"/>
        <v>10</v>
      </c>
      <c r="M12" s="3">
        <f t="shared" si="3"/>
        <v>10</v>
      </c>
      <c r="N12" s="3">
        <f t="shared" si="3"/>
        <v>15</v>
      </c>
      <c r="O12" s="3">
        <f>(O8+O9+O10+O11)</f>
        <v>0</v>
      </c>
      <c r="P12" s="3">
        <f t="shared" si="3"/>
        <v>15</v>
      </c>
      <c r="Q12" s="5">
        <f>AVERAGE(B12:P12)</f>
        <v>11</v>
      </c>
      <c r="R12" s="2" t="s">
        <v>16</v>
      </c>
      <c r="T12" s="1"/>
    </row>
    <row r="13" spans="1:22" x14ac:dyDescent="0.2">
      <c r="A13" s="1" t="s">
        <v>8</v>
      </c>
      <c r="B13">
        <v>30</v>
      </c>
      <c r="C13">
        <v>30</v>
      </c>
      <c r="D13">
        <v>30</v>
      </c>
      <c r="E13">
        <v>30</v>
      </c>
      <c r="F13">
        <v>30</v>
      </c>
      <c r="G13">
        <v>25</v>
      </c>
      <c r="H13">
        <v>25</v>
      </c>
      <c r="I13">
        <v>30</v>
      </c>
      <c r="J13">
        <v>40</v>
      </c>
      <c r="K13">
        <v>35</v>
      </c>
      <c r="L13">
        <v>40</v>
      </c>
      <c r="M13">
        <v>30</v>
      </c>
      <c r="N13">
        <v>30</v>
      </c>
      <c r="O13">
        <v>25</v>
      </c>
      <c r="P13">
        <v>30</v>
      </c>
      <c r="Q13" s="9"/>
      <c r="T13" s="1"/>
    </row>
    <row r="14" spans="1:22" x14ac:dyDescent="0.2">
      <c r="A14" s="1"/>
      <c r="Q14" s="9"/>
    </row>
    <row r="15" spans="1:22" x14ac:dyDescent="0.2">
      <c r="A15" s="1"/>
      <c r="Q15" s="9"/>
      <c r="T15" s="19" t="s">
        <v>7</v>
      </c>
      <c r="U15">
        <f>Q17</f>
        <v>30.666666666666668</v>
      </c>
    </row>
    <row r="16" spans="1:22" x14ac:dyDescent="0.2">
      <c r="Q16" s="9"/>
      <c r="T16" s="1" t="s">
        <v>9</v>
      </c>
      <c r="U16">
        <f>Q18/V$22*100</f>
        <v>28.571428571428569</v>
      </c>
    </row>
    <row r="17" spans="1:22" s="2" customFormat="1" x14ac:dyDescent="0.2">
      <c r="A17" s="3" t="s">
        <v>7</v>
      </c>
      <c r="B17" s="3">
        <f>(B13)</f>
        <v>30</v>
      </c>
      <c r="C17" s="3">
        <f t="shared" ref="C17:P17" si="4">(C13)</f>
        <v>30</v>
      </c>
      <c r="D17" s="3">
        <f t="shared" si="4"/>
        <v>30</v>
      </c>
      <c r="E17" s="3">
        <f t="shared" si="4"/>
        <v>30</v>
      </c>
      <c r="F17" s="3">
        <f t="shared" si="4"/>
        <v>30</v>
      </c>
      <c r="G17" s="3">
        <f t="shared" si="4"/>
        <v>25</v>
      </c>
      <c r="H17" s="3">
        <f t="shared" si="4"/>
        <v>25</v>
      </c>
      <c r="I17" s="3">
        <f t="shared" si="4"/>
        <v>30</v>
      </c>
      <c r="J17" s="3">
        <f>(J13)</f>
        <v>40</v>
      </c>
      <c r="K17" s="3">
        <f t="shared" si="4"/>
        <v>35</v>
      </c>
      <c r="L17" s="3">
        <f t="shared" si="4"/>
        <v>40</v>
      </c>
      <c r="M17" s="3">
        <f t="shared" si="4"/>
        <v>30</v>
      </c>
      <c r="N17" s="3">
        <f t="shared" si="4"/>
        <v>30</v>
      </c>
      <c r="O17" s="3">
        <f t="shared" si="4"/>
        <v>25</v>
      </c>
      <c r="P17" s="3">
        <f t="shared" si="4"/>
        <v>30</v>
      </c>
      <c r="Q17" s="5">
        <f>AVERAGE(B17:P17)</f>
        <v>30.666666666666668</v>
      </c>
      <c r="R17" s="2" t="s">
        <v>16</v>
      </c>
      <c r="T17" s="2" t="s">
        <v>14</v>
      </c>
      <c r="U17">
        <f>Q19/V$22*100</f>
        <v>53.061224489795919</v>
      </c>
    </row>
    <row r="18" spans="1:22" x14ac:dyDescent="0.2">
      <c r="A18" s="1" t="s">
        <v>9</v>
      </c>
      <c r="C18">
        <v>10</v>
      </c>
      <c r="D18">
        <v>5</v>
      </c>
      <c r="H18">
        <v>10</v>
      </c>
      <c r="I18">
        <v>10</v>
      </c>
      <c r="L18">
        <v>10</v>
      </c>
      <c r="M18">
        <v>10</v>
      </c>
      <c r="N18">
        <v>10</v>
      </c>
      <c r="O18">
        <v>5</v>
      </c>
      <c r="Q18" s="9">
        <f>SUM(B18:P18)</f>
        <v>70</v>
      </c>
      <c r="T18" t="s">
        <v>26</v>
      </c>
    </row>
    <row r="19" spans="1:22" x14ac:dyDescent="0.2">
      <c r="A19" s="2" t="s">
        <v>14</v>
      </c>
      <c r="B19">
        <v>5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5</v>
      </c>
      <c r="J19">
        <v>10</v>
      </c>
      <c r="K19">
        <v>10</v>
      </c>
      <c r="L19">
        <v>10</v>
      </c>
      <c r="M19">
        <v>10</v>
      </c>
      <c r="O19">
        <v>15</v>
      </c>
      <c r="P19">
        <v>15</v>
      </c>
      <c r="Q19" s="9">
        <f t="shared" ref="Q19:Q21" si="5">SUM(B19:P19)</f>
        <v>130</v>
      </c>
      <c r="T19" t="s">
        <v>65</v>
      </c>
    </row>
    <row r="20" spans="1:22" x14ac:dyDescent="0.2">
      <c r="A20" t="s">
        <v>26</v>
      </c>
      <c r="Q20" s="9">
        <f t="shared" si="5"/>
        <v>0</v>
      </c>
      <c r="R20" t="s">
        <v>42</v>
      </c>
      <c r="T20" t="s">
        <v>66</v>
      </c>
      <c r="U20">
        <f>Q21/V$22*100</f>
        <v>18.367346938775512</v>
      </c>
    </row>
    <row r="21" spans="1:22" x14ac:dyDescent="0.2">
      <c r="A21" t="s">
        <v>73</v>
      </c>
      <c r="B21">
        <v>20</v>
      </c>
      <c r="K21">
        <v>5</v>
      </c>
      <c r="O21">
        <v>20</v>
      </c>
      <c r="Q21" s="9">
        <f t="shared" si="5"/>
        <v>45</v>
      </c>
      <c r="T21" t="s">
        <v>89</v>
      </c>
    </row>
    <row r="22" spans="1:22" s="2" customFormat="1" x14ac:dyDescent="0.2">
      <c r="A22" s="3" t="s">
        <v>7</v>
      </c>
      <c r="B22" s="3">
        <f>(B18+B19+B21)</f>
        <v>25</v>
      </c>
      <c r="C22" s="3">
        <f t="shared" ref="C22:P22" si="6">(C18+C19)</f>
        <v>20</v>
      </c>
      <c r="D22" s="3">
        <f t="shared" si="6"/>
        <v>15</v>
      </c>
      <c r="E22" s="3">
        <f t="shared" si="6"/>
        <v>10</v>
      </c>
      <c r="F22" s="3">
        <f t="shared" si="6"/>
        <v>10</v>
      </c>
      <c r="G22" s="3">
        <f t="shared" si="6"/>
        <v>10</v>
      </c>
      <c r="H22" s="3">
        <f t="shared" si="6"/>
        <v>15</v>
      </c>
      <c r="I22" s="3">
        <f t="shared" si="6"/>
        <v>10</v>
      </c>
      <c r="J22" s="3">
        <f t="shared" si="6"/>
        <v>10</v>
      </c>
      <c r="K22" s="3">
        <f>(K18+K19+K21)</f>
        <v>15</v>
      </c>
      <c r="L22" s="3">
        <f t="shared" si="6"/>
        <v>20</v>
      </c>
      <c r="M22" s="3">
        <f t="shared" si="6"/>
        <v>20</v>
      </c>
      <c r="N22" s="3">
        <f t="shared" si="6"/>
        <v>10</v>
      </c>
      <c r="O22" s="3">
        <f>(O18+O19+O21)</f>
        <v>40</v>
      </c>
      <c r="P22" s="3">
        <f t="shared" si="6"/>
        <v>15</v>
      </c>
      <c r="Q22" s="5">
        <f>AVERAGE(B22:P22)</f>
        <v>16.333333333333332</v>
      </c>
      <c r="R22" s="2" t="s">
        <v>16</v>
      </c>
      <c r="T22" s="19" t="s">
        <v>7</v>
      </c>
      <c r="U22" s="2">
        <f>Q22</f>
        <v>16.333333333333332</v>
      </c>
      <c r="V22" s="2">
        <f>SUM(Q18:Q21)</f>
        <v>245</v>
      </c>
    </row>
    <row r="23" spans="1:22" x14ac:dyDescent="0.2">
      <c r="A23" s="1" t="s">
        <v>10</v>
      </c>
      <c r="Q23" s="11" t="s">
        <v>39</v>
      </c>
      <c r="R23" s="12" t="s">
        <v>38</v>
      </c>
      <c r="T23" s="1" t="s">
        <v>10</v>
      </c>
    </row>
    <row r="24" spans="1:22" x14ac:dyDescent="0.2">
      <c r="A24" s="2" t="s">
        <v>18</v>
      </c>
      <c r="B24">
        <v>9</v>
      </c>
      <c r="C24">
        <v>6</v>
      </c>
      <c r="D24">
        <v>4</v>
      </c>
      <c r="E24">
        <v>7</v>
      </c>
      <c r="F24">
        <v>7</v>
      </c>
      <c r="G24">
        <v>6</v>
      </c>
      <c r="H24">
        <v>6</v>
      </c>
      <c r="I24">
        <v>5</v>
      </c>
      <c r="J24">
        <v>7</v>
      </c>
      <c r="K24">
        <v>5</v>
      </c>
      <c r="L24">
        <v>14</v>
      </c>
      <c r="M24">
        <v>5</v>
      </c>
      <c r="N24">
        <v>8</v>
      </c>
      <c r="O24">
        <v>6</v>
      </c>
      <c r="P24">
        <v>4</v>
      </c>
      <c r="Q24" s="9">
        <f>SUM(B24:P24)</f>
        <v>99</v>
      </c>
      <c r="R24">
        <f>Q24/Q$30*100</f>
        <v>94.285714285714278</v>
      </c>
      <c r="T24" s="2" t="s">
        <v>18</v>
      </c>
      <c r="U24" cm="1">
        <f t="array" ref="U24:U30">Q24:Q30</f>
        <v>99</v>
      </c>
    </row>
    <row r="25" spans="1:22" x14ac:dyDescent="0.2">
      <c r="A25" s="2" t="s">
        <v>19</v>
      </c>
      <c r="E25">
        <v>2</v>
      </c>
      <c r="H25">
        <v>1</v>
      </c>
      <c r="K25">
        <v>1</v>
      </c>
      <c r="Q25" s="9">
        <f t="shared" ref="Q25:Q28" si="7">SUM(B25:P25)</f>
        <v>4</v>
      </c>
      <c r="R25">
        <f t="shared" ref="R25:R29" si="8">Q25/Q$30*100</f>
        <v>3.8095238095238098</v>
      </c>
      <c r="T25" s="2" t="s">
        <v>19</v>
      </c>
      <c r="U25">
        <v>4</v>
      </c>
    </row>
    <row r="26" spans="1:22" x14ac:dyDescent="0.2">
      <c r="A26" s="2" t="s">
        <v>20</v>
      </c>
      <c r="G26">
        <v>1</v>
      </c>
      <c r="Q26" s="9">
        <f t="shared" si="7"/>
        <v>1</v>
      </c>
      <c r="R26">
        <f t="shared" si="8"/>
        <v>0.95238095238095244</v>
      </c>
      <c r="T26" s="2" t="s">
        <v>20</v>
      </c>
      <c r="U26">
        <v>1</v>
      </c>
    </row>
    <row r="27" spans="1:22" x14ac:dyDescent="0.2">
      <c r="A27" s="2" t="s">
        <v>21</v>
      </c>
      <c r="Q27" s="9">
        <f t="shared" si="7"/>
        <v>0</v>
      </c>
      <c r="R27">
        <f t="shared" si="8"/>
        <v>0</v>
      </c>
      <c r="T27" s="2" t="s">
        <v>21</v>
      </c>
      <c r="U27">
        <v>0</v>
      </c>
    </row>
    <row r="28" spans="1:22" x14ac:dyDescent="0.2">
      <c r="A28" s="2" t="s">
        <v>22</v>
      </c>
      <c r="F28">
        <v>1</v>
      </c>
      <c r="Q28" s="9">
        <f t="shared" si="7"/>
        <v>1</v>
      </c>
      <c r="R28">
        <f t="shared" si="8"/>
        <v>0.95238095238095244</v>
      </c>
      <c r="T28" s="2" t="s">
        <v>22</v>
      </c>
      <c r="U28">
        <v>1</v>
      </c>
    </row>
    <row r="29" spans="1:22" x14ac:dyDescent="0.2">
      <c r="A29" s="2" t="s">
        <v>23</v>
      </c>
      <c r="Q29" s="9">
        <f>SUM(B29:P29)</f>
        <v>0</v>
      </c>
      <c r="R29">
        <f t="shared" si="8"/>
        <v>0</v>
      </c>
      <c r="T29" s="2" t="s">
        <v>23</v>
      </c>
      <c r="U29">
        <v>0</v>
      </c>
    </row>
    <row r="30" spans="1:22" s="2" customFormat="1" x14ac:dyDescent="0.2">
      <c r="A30" s="3" t="s">
        <v>7</v>
      </c>
      <c r="B30" s="3">
        <f t="shared" ref="B30:P30" si="9">(B23)</f>
        <v>0</v>
      </c>
      <c r="C30" s="3">
        <f t="shared" si="9"/>
        <v>0</v>
      </c>
      <c r="D30" s="3">
        <f t="shared" si="9"/>
        <v>0</v>
      </c>
      <c r="E30" s="3">
        <f t="shared" si="9"/>
        <v>0</v>
      </c>
      <c r="F30" s="3">
        <f t="shared" si="9"/>
        <v>0</v>
      </c>
      <c r="G30" s="3">
        <f t="shared" si="9"/>
        <v>0</v>
      </c>
      <c r="H30" s="3">
        <f t="shared" si="9"/>
        <v>0</v>
      </c>
      <c r="I30" s="3">
        <f t="shared" si="9"/>
        <v>0</v>
      </c>
      <c r="J30" s="3">
        <f t="shared" si="9"/>
        <v>0</v>
      </c>
      <c r="K30" s="3">
        <f t="shared" si="9"/>
        <v>0</v>
      </c>
      <c r="L30" s="3">
        <f t="shared" si="9"/>
        <v>0</v>
      </c>
      <c r="M30" s="3">
        <f t="shared" si="9"/>
        <v>0</v>
      </c>
      <c r="N30" s="3">
        <f t="shared" si="9"/>
        <v>0</v>
      </c>
      <c r="O30" s="3">
        <f t="shared" si="9"/>
        <v>0</v>
      </c>
      <c r="P30" s="3">
        <f t="shared" si="9"/>
        <v>0</v>
      </c>
      <c r="Q30" s="6">
        <f>SUM(Q24:Q29)</f>
        <v>105</v>
      </c>
      <c r="R30" s="2" t="s">
        <v>17</v>
      </c>
      <c r="T30" s="3" t="s">
        <v>7</v>
      </c>
      <c r="U30" s="2">
        <v>105</v>
      </c>
    </row>
    <row r="31" spans="1:22" x14ac:dyDescent="0.2">
      <c r="Q31" s="9"/>
    </row>
    <row r="32" spans="1:22" s="1" customFormat="1" x14ac:dyDescent="0.2">
      <c r="A32" s="4" t="s">
        <v>11</v>
      </c>
      <c r="B32" s="4">
        <f t="shared" ref="B32:P32" si="10">(B22+B17+B12+B7)</f>
        <v>100</v>
      </c>
      <c r="C32" s="4">
        <f t="shared" si="10"/>
        <v>100</v>
      </c>
      <c r="D32" s="4">
        <f t="shared" si="10"/>
        <v>100</v>
      </c>
      <c r="E32" s="4">
        <f t="shared" si="10"/>
        <v>100</v>
      </c>
      <c r="F32" s="4">
        <f t="shared" si="10"/>
        <v>100</v>
      </c>
      <c r="G32" s="4">
        <f t="shared" si="10"/>
        <v>100</v>
      </c>
      <c r="H32" s="4">
        <f t="shared" si="10"/>
        <v>100</v>
      </c>
      <c r="I32" s="4">
        <f t="shared" si="10"/>
        <v>100</v>
      </c>
      <c r="J32" s="4">
        <f t="shared" si="10"/>
        <v>100</v>
      </c>
      <c r="K32" s="4">
        <f t="shared" si="10"/>
        <v>100</v>
      </c>
      <c r="L32" s="4">
        <f t="shared" si="10"/>
        <v>100</v>
      </c>
      <c r="M32" s="4">
        <f t="shared" si="10"/>
        <v>100</v>
      </c>
      <c r="N32" s="4">
        <f t="shared" si="10"/>
        <v>100</v>
      </c>
      <c r="O32" s="4">
        <f t="shared" si="10"/>
        <v>100</v>
      </c>
      <c r="P32" s="4">
        <f t="shared" si="10"/>
        <v>100</v>
      </c>
      <c r="Q32" s="7">
        <f>SUM(Q22+Q17+Q12+Q7)</f>
        <v>100</v>
      </c>
    </row>
    <row r="36" spans="1:3" x14ac:dyDescent="0.2">
      <c r="A36" s="4" t="s">
        <v>71</v>
      </c>
    </row>
    <row r="37" spans="1:3" x14ac:dyDescent="0.2">
      <c r="A37" s="1" t="s">
        <v>12</v>
      </c>
      <c r="B37" t="s">
        <v>24</v>
      </c>
      <c r="C37" t="s">
        <v>0</v>
      </c>
    </row>
    <row r="38" spans="1:3" x14ac:dyDescent="0.2">
      <c r="A38" t="s">
        <v>2</v>
      </c>
      <c r="B38">
        <v>5</v>
      </c>
      <c r="C38">
        <f>B38/B$42*100</f>
        <v>16.666666666666664</v>
      </c>
    </row>
    <row r="39" spans="1:3" x14ac:dyDescent="0.2">
      <c r="A39" t="s">
        <v>3</v>
      </c>
      <c r="B39">
        <v>13</v>
      </c>
      <c r="C39">
        <f t="shared" ref="C39:C42" si="11">B39/B$42*100</f>
        <v>43.333333333333336</v>
      </c>
    </row>
    <row r="40" spans="1:3" x14ac:dyDescent="0.2">
      <c r="A40" t="s">
        <v>4</v>
      </c>
      <c r="B40">
        <v>11</v>
      </c>
      <c r="C40">
        <f t="shared" si="11"/>
        <v>36.666666666666664</v>
      </c>
    </row>
    <row r="41" spans="1:3" x14ac:dyDescent="0.2">
      <c r="A41" t="s">
        <v>5</v>
      </c>
      <c r="B41">
        <v>1</v>
      </c>
      <c r="C41">
        <f t="shared" si="11"/>
        <v>3.3333333333333335</v>
      </c>
    </row>
    <row r="42" spans="1:3" x14ac:dyDescent="0.2">
      <c r="A42" s="1" t="s">
        <v>13</v>
      </c>
      <c r="B42">
        <f>(B41+B40+B39+B38)</f>
        <v>30</v>
      </c>
      <c r="C42">
        <f t="shared" si="11"/>
        <v>100</v>
      </c>
    </row>
    <row r="45" spans="1:3" x14ac:dyDescent="0.2">
      <c r="A45" s="1" t="s">
        <v>53</v>
      </c>
    </row>
  </sheetData>
  <conditionalFormatting sqref="B42">
    <cfRule type="cellIs" dxfId="11" priority="1" operator="lessThan">
      <formula>30</formula>
    </cfRule>
    <cfRule type="cellIs" dxfId="10" priority="2" operator="equal">
      <formula>30</formula>
    </cfRule>
  </conditionalFormatting>
  <conditionalFormatting sqref="B32:P32">
    <cfRule type="cellIs" dxfId="9" priority="3" operator="lessThan">
      <formula>100</formula>
    </cfRule>
    <cfRule type="cellIs" dxfId="8" priority="4" operator="equal">
      <formula>100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6D7F-E6BD-9348-ADE6-7753FB684E67}">
  <sheetPr>
    <tabColor rgb="FF00B0F0"/>
  </sheetPr>
  <dimension ref="A1:V44"/>
  <sheetViews>
    <sheetView zoomScale="99" workbookViewId="0">
      <pane xSplit="1" topLeftCell="B1" activePane="topRight" state="frozen"/>
      <selection pane="topRight" activeCell="U7" sqref="U7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.1640625" bestFit="1" customWidth="1"/>
  </cols>
  <sheetData>
    <row r="1" spans="1:22" x14ac:dyDescent="0.2">
      <c r="A1" s="4" t="s">
        <v>85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T1" s="1" t="s">
        <v>1</v>
      </c>
    </row>
    <row r="2" spans="1:22" x14ac:dyDescent="0.2">
      <c r="A2" s="1" t="s">
        <v>1</v>
      </c>
      <c r="B2">
        <v>20</v>
      </c>
      <c r="C2">
        <v>25</v>
      </c>
      <c r="D2">
        <v>30</v>
      </c>
      <c r="E2">
        <v>20</v>
      </c>
      <c r="F2">
        <v>20</v>
      </c>
      <c r="G2">
        <v>25</v>
      </c>
      <c r="H2">
        <v>30</v>
      </c>
      <c r="I2">
        <v>35</v>
      </c>
      <c r="J2">
        <v>30</v>
      </c>
      <c r="K2">
        <v>30</v>
      </c>
      <c r="L2">
        <v>30</v>
      </c>
      <c r="M2">
        <v>30</v>
      </c>
      <c r="N2">
        <v>25</v>
      </c>
      <c r="O2">
        <v>40</v>
      </c>
      <c r="P2">
        <v>25</v>
      </c>
      <c r="Q2" s="8"/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  <c r="T6" s="19" t="s">
        <v>7</v>
      </c>
      <c r="U6">
        <f>Q7</f>
        <v>27.666666666666668</v>
      </c>
    </row>
    <row r="7" spans="1:22" s="2" customFormat="1" x14ac:dyDescent="0.2">
      <c r="A7" s="3" t="s">
        <v>7</v>
      </c>
      <c r="B7" s="3">
        <f>(B2+B3)</f>
        <v>20</v>
      </c>
      <c r="C7" s="3">
        <f t="shared" ref="C7:P7" si="0">(C2+C3)</f>
        <v>25</v>
      </c>
      <c r="D7" s="3">
        <f t="shared" si="0"/>
        <v>30</v>
      </c>
      <c r="E7" s="3">
        <f t="shared" si="0"/>
        <v>20</v>
      </c>
      <c r="F7" s="3">
        <f t="shared" si="0"/>
        <v>20</v>
      </c>
      <c r="G7" s="3">
        <f t="shared" si="0"/>
        <v>25</v>
      </c>
      <c r="H7" s="3">
        <f t="shared" si="0"/>
        <v>30</v>
      </c>
      <c r="I7" s="3">
        <f t="shared" si="0"/>
        <v>35</v>
      </c>
      <c r="J7" s="3">
        <f t="shared" si="0"/>
        <v>30</v>
      </c>
      <c r="K7" s="3">
        <f t="shared" si="0"/>
        <v>30</v>
      </c>
      <c r="L7" s="3">
        <f t="shared" si="0"/>
        <v>30</v>
      </c>
      <c r="M7" s="3">
        <f t="shared" si="0"/>
        <v>30</v>
      </c>
      <c r="N7" s="3">
        <f t="shared" si="0"/>
        <v>25</v>
      </c>
      <c r="O7" s="3">
        <f t="shared" si="0"/>
        <v>40</v>
      </c>
      <c r="P7" s="3">
        <f t="shared" si="0"/>
        <v>25</v>
      </c>
      <c r="Q7" s="5">
        <f>AVERAGE(B7:P7)</f>
        <v>27.666666666666668</v>
      </c>
      <c r="R7" s="2" t="s">
        <v>16</v>
      </c>
      <c r="T7" s="1" t="s">
        <v>6</v>
      </c>
      <c r="U7" s="2">
        <f>Q8/V$10*100</f>
        <v>11.363636363636363</v>
      </c>
    </row>
    <row r="8" spans="1:22" x14ac:dyDescent="0.2">
      <c r="A8" s="1" t="s">
        <v>6</v>
      </c>
      <c r="C8">
        <v>5</v>
      </c>
      <c r="E8">
        <v>5</v>
      </c>
      <c r="F8">
        <v>5</v>
      </c>
      <c r="G8">
        <v>5</v>
      </c>
      <c r="P8">
        <v>5</v>
      </c>
      <c r="Q8" s="9">
        <f>SUM(B8:P8)</f>
        <v>25</v>
      </c>
      <c r="T8" t="s">
        <v>34</v>
      </c>
      <c r="U8" s="2">
        <f t="shared" ref="U8:U9" si="1">Q9/V$10*100</f>
        <v>4.5454545454545459</v>
      </c>
    </row>
    <row r="9" spans="1:22" x14ac:dyDescent="0.2">
      <c r="A9" t="s">
        <v>34</v>
      </c>
      <c r="L9">
        <v>5</v>
      </c>
      <c r="M9">
        <v>5</v>
      </c>
      <c r="Q9" s="9">
        <f t="shared" ref="Q9" si="2">SUM(B9:P9)</f>
        <v>10</v>
      </c>
      <c r="T9" t="s">
        <v>47</v>
      </c>
      <c r="U9" s="2">
        <f t="shared" si="1"/>
        <v>84.090909090909093</v>
      </c>
    </row>
    <row r="10" spans="1:22" x14ac:dyDescent="0.2">
      <c r="A10" t="s">
        <v>47</v>
      </c>
      <c r="B10">
        <v>15</v>
      </c>
      <c r="C10">
        <v>15</v>
      </c>
      <c r="D10">
        <v>10</v>
      </c>
      <c r="E10">
        <v>15</v>
      </c>
      <c r="F10">
        <v>15</v>
      </c>
      <c r="G10">
        <v>10</v>
      </c>
      <c r="H10">
        <v>10</v>
      </c>
      <c r="I10">
        <v>15</v>
      </c>
      <c r="J10">
        <v>10</v>
      </c>
      <c r="K10">
        <v>15</v>
      </c>
      <c r="L10">
        <v>10</v>
      </c>
      <c r="M10">
        <v>5</v>
      </c>
      <c r="N10">
        <v>15</v>
      </c>
      <c r="O10">
        <v>10</v>
      </c>
      <c r="P10">
        <v>15</v>
      </c>
      <c r="Q10" s="9">
        <f>SUM(B10:P10)</f>
        <v>185</v>
      </c>
      <c r="T10" s="19" t="s">
        <v>7</v>
      </c>
      <c r="U10">
        <f>Q11</f>
        <v>14.666666666666666</v>
      </c>
      <c r="V10">
        <f>SUM(Q8:Q10)</f>
        <v>220</v>
      </c>
    </row>
    <row r="11" spans="1:22" s="2" customFormat="1" x14ac:dyDescent="0.2">
      <c r="A11" s="3" t="s">
        <v>7</v>
      </c>
      <c r="B11" s="3">
        <f>(B8+B9+B10)</f>
        <v>15</v>
      </c>
      <c r="C11" s="3">
        <f t="shared" ref="C11:P11" si="3">(C8+C9+C10)</f>
        <v>20</v>
      </c>
      <c r="D11" s="3">
        <f t="shared" si="3"/>
        <v>10</v>
      </c>
      <c r="E11" s="3">
        <f t="shared" si="3"/>
        <v>20</v>
      </c>
      <c r="F11" s="3">
        <f t="shared" si="3"/>
        <v>20</v>
      </c>
      <c r="G11" s="3">
        <f t="shared" si="3"/>
        <v>15</v>
      </c>
      <c r="H11" s="3">
        <f t="shared" si="3"/>
        <v>10</v>
      </c>
      <c r="I11" s="3">
        <f t="shared" si="3"/>
        <v>15</v>
      </c>
      <c r="J11" s="3">
        <f t="shared" si="3"/>
        <v>10</v>
      </c>
      <c r="K11" s="3">
        <f t="shared" si="3"/>
        <v>15</v>
      </c>
      <c r="L11" s="3">
        <f t="shared" si="3"/>
        <v>15</v>
      </c>
      <c r="M11" s="3">
        <f t="shared" si="3"/>
        <v>10</v>
      </c>
      <c r="N11" s="3">
        <f t="shared" si="3"/>
        <v>15</v>
      </c>
      <c r="O11" s="3">
        <f t="shared" si="3"/>
        <v>10</v>
      </c>
      <c r="P11" s="3">
        <f t="shared" si="3"/>
        <v>20</v>
      </c>
      <c r="Q11" s="5">
        <f>AVERAGE(B11:P11)</f>
        <v>14.666666666666666</v>
      </c>
      <c r="R11" s="2" t="s">
        <v>16</v>
      </c>
      <c r="T11" s="1" t="s">
        <v>8</v>
      </c>
    </row>
    <row r="12" spans="1:22" x14ac:dyDescent="0.2">
      <c r="A12" s="1" t="s">
        <v>8</v>
      </c>
      <c r="B12">
        <v>40</v>
      </c>
      <c r="C12">
        <v>30</v>
      </c>
      <c r="D12">
        <v>40</v>
      </c>
      <c r="E12">
        <v>30</v>
      </c>
      <c r="F12">
        <v>30</v>
      </c>
      <c r="G12">
        <v>35</v>
      </c>
      <c r="H12">
        <v>30</v>
      </c>
      <c r="I12">
        <v>30</v>
      </c>
      <c r="J12">
        <v>30</v>
      </c>
      <c r="K12">
        <v>35</v>
      </c>
      <c r="L12">
        <v>35</v>
      </c>
      <c r="M12">
        <v>35</v>
      </c>
      <c r="N12">
        <v>30</v>
      </c>
      <c r="O12">
        <v>20</v>
      </c>
      <c r="P12">
        <v>30</v>
      </c>
      <c r="Q12" s="9"/>
      <c r="T12" s="1"/>
    </row>
    <row r="13" spans="1:22" x14ac:dyDescent="0.2">
      <c r="A13" s="1"/>
      <c r="Q13" s="9"/>
      <c r="T13" s="1"/>
    </row>
    <row r="14" spans="1:22" x14ac:dyDescent="0.2">
      <c r="A14" s="1"/>
      <c r="Q14" s="9"/>
    </row>
    <row r="15" spans="1:22" x14ac:dyDescent="0.2">
      <c r="Q15" s="9"/>
      <c r="T15" s="19" t="s">
        <v>7</v>
      </c>
      <c r="U15">
        <f>Q16</f>
        <v>32</v>
      </c>
    </row>
    <row r="16" spans="1:22" s="2" customFormat="1" x14ac:dyDescent="0.2">
      <c r="A16" s="3" t="s">
        <v>7</v>
      </c>
      <c r="B16" s="3">
        <f>(B12)</f>
        <v>40</v>
      </c>
      <c r="C16" s="3">
        <f t="shared" ref="C16:P16" si="4">(C12)</f>
        <v>30</v>
      </c>
      <c r="D16" s="3">
        <f t="shared" si="4"/>
        <v>40</v>
      </c>
      <c r="E16" s="3">
        <f t="shared" si="4"/>
        <v>30</v>
      </c>
      <c r="F16" s="3">
        <f t="shared" si="4"/>
        <v>30</v>
      </c>
      <c r="G16" s="3">
        <f t="shared" si="4"/>
        <v>35</v>
      </c>
      <c r="H16" s="3">
        <f t="shared" si="4"/>
        <v>30</v>
      </c>
      <c r="I16" s="3">
        <f t="shared" si="4"/>
        <v>30</v>
      </c>
      <c r="J16" s="3">
        <f>(J12)</f>
        <v>30</v>
      </c>
      <c r="K16" s="3">
        <f t="shared" si="4"/>
        <v>35</v>
      </c>
      <c r="L16" s="3">
        <f t="shared" si="4"/>
        <v>35</v>
      </c>
      <c r="M16" s="3">
        <f t="shared" si="4"/>
        <v>35</v>
      </c>
      <c r="N16" s="3">
        <f t="shared" si="4"/>
        <v>30</v>
      </c>
      <c r="O16" s="3">
        <f t="shared" si="4"/>
        <v>20</v>
      </c>
      <c r="P16" s="3">
        <f t="shared" si="4"/>
        <v>30</v>
      </c>
      <c r="Q16" s="5">
        <f>AVERAGE(B16:P16)</f>
        <v>32</v>
      </c>
      <c r="R16" s="2" t="s">
        <v>16</v>
      </c>
      <c r="T16" s="1" t="s">
        <v>9</v>
      </c>
      <c r="U16" s="2">
        <f>Q17/V$22*100</f>
        <v>0</v>
      </c>
    </row>
    <row r="17" spans="1:22" x14ac:dyDescent="0.2">
      <c r="A17" s="1" t="s">
        <v>9</v>
      </c>
      <c r="Q17" s="9">
        <f>SUM(B17:P17)</f>
        <v>0</v>
      </c>
      <c r="T17" s="2" t="s">
        <v>14</v>
      </c>
      <c r="U17" s="2">
        <f>Q18/V$22*100</f>
        <v>97.468354430379748</v>
      </c>
    </row>
    <row r="18" spans="1:22" x14ac:dyDescent="0.2">
      <c r="A18" s="2" t="s">
        <v>14</v>
      </c>
      <c r="B18">
        <v>25</v>
      </c>
      <c r="C18">
        <v>25</v>
      </c>
      <c r="D18">
        <v>20</v>
      </c>
      <c r="E18">
        <v>30</v>
      </c>
      <c r="F18">
        <v>30</v>
      </c>
      <c r="G18">
        <v>25</v>
      </c>
      <c r="H18">
        <v>30</v>
      </c>
      <c r="I18">
        <v>20</v>
      </c>
      <c r="J18">
        <v>30</v>
      </c>
      <c r="K18">
        <v>20</v>
      </c>
      <c r="L18">
        <v>20</v>
      </c>
      <c r="M18">
        <v>25</v>
      </c>
      <c r="N18">
        <v>30</v>
      </c>
      <c r="O18">
        <v>30</v>
      </c>
      <c r="P18">
        <v>25</v>
      </c>
      <c r="Q18" s="9">
        <f>SUM(B18:P18)</f>
        <v>385</v>
      </c>
      <c r="T18" t="s">
        <v>26</v>
      </c>
    </row>
    <row r="19" spans="1:22" x14ac:dyDescent="0.2">
      <c r="A19" t="s">
        <v>26</v>
      </c>
      <c r="Q19" s="9">
        <f t="shared" ref="Q19:Q20" si="5">SUM(B19:P19)</f>
        <v>0</v>
      </c>
      <c r="R19" t="s">
        <v>42</v>
      </c>
      <c r="T19" t="s">
        <v>65</v>
      </c>
    </row>
    <row r="20" spans="1:22" x14ac:dyDescent="0.2">
      <c r="A20" t="s">
        <v>86</v>
      </c>
      <c r="J20">
        <v>5</v>
      </c>
      <c r="M20">
        <v>5</v>
      </c>
      <c r="Q20" s="9">
        <f t="shared" si="5"/>
        <v>10</v>
      </c>
      <c r="T20" t="s">
        <v>66</v>
      </c>
      <c r="U20" s="21">
        <f>Q20/V$22*100</f>
        <v>2.5316455696202533</v>
      </c>
    </row>
    <row r="21" spans="1:22" s="2" customFormat="1" x14ac:dyDescent="0.2">
      <c r="A21" s="3" t="s">
        <v>7</v>
      </c>
      <c r="B21" s="3">
        <f>(B17+B18)</f>
        <v>25</v>
      </c>
      <c r="C21" s="3">
        <f t="shared" ref="C21:P21" si="6">(C17+C18)</f>
        <v>25</v>
      </c>
      <c r="D21" s="3">
        <f t="shared" si="6"/>
        <v>20</v>
      </c>
      <c r="E21" s="3">
        <f t="shared" si="6"/>
        <v>30</v>
      </c>
      <c r="F21" s="3">
        <f t="shared" si="6"/>
        <v>30</v>
      </c>
      <c r="G21" s="3">
        <f t="shared" si="6"/>
        <v>25</v>
      </c>
      <c r="H21" s="3">
        <f t="shared" si="6"/>
        <v>30</v>
      </c>
      <c r="I21" s="3">
        <f t="shared" si="6"/>
        <v>20</v>
      </c>
      <c r="J21" s="3">
        <f t="shared" si="6"/>
        <v>30</v>
      </c>
      <c r="K21" s="3">
        <f t="shared" si="6"/>
        <v>20</v>
      </c>
      <c r="L21" s="3">
        <f t="shared" si="6"/>
        <v>20</v>
      </c>
      <c r="M21" s="3">
        <f t="shared" si="6"/>
        <v>25</v>
      </c>
      <c r="N21" s="3">
        <f t="shared" si="6"/>
        <v>30</v>
      </c>
      <c r="O21" s="3">
        <f t="shared" si="6"/>
        <v>30</v>
      </c>
      <c r="P21" s="3">
        <f t="shared" si="6"/>
        <v>25</v>
      </c>
      <c r="Q21" s="5">
        <f>AVERAGE(B21:P21)</f>
        <v>25.666666666666668</v>
      </c>
      <c r="R21" s="2" t="s">
        <v>16</v>
      </c>
      <c r="T21" t="s">
        <v>89</v>
      </c>
    </row>
    <row r="22" spans="1:22" x14ac:dyDescent="0.2">
      <c r="A22" s="1" t="s">
        <v>10</v>
      </c>
      <c r="Q22" s="11" t="s">
        <v>39</v>
      </c>
      <c r="R22" s="12" t="s">
        <v>38</v>
      </c>
      <c r="T22" s="19" t="s">
        <v>7</v>
      </c>
      <c r="U22">
        <f>Q21</f>
        <v>25.666666666666668</v>
      </c>
      <c r="V22">
        <f>SUM(Q17:Q20)</f>
        <v>395</v>
      </c>
    </row>
    <row r="23" spans="1:22" x14ac:dyDescent="0.2">
      <c r="A23" s="2" t="s">
        <v>18</v>
      </c>
      <c r="B23">
        <v>29</v>
      </c>
      <c r="C23">
        <v>21</v>
      </c>
      <c r="D23">
        <v>26</v>
      </c>
      <c r="E23">
        <v>11</v>
      </c>
      <c r="F23">
        <v>11</v>
      </c>
      <c r="G23">
        <v>22</v>
      </c>
      <c r="H23">
        <v>9</v>
      </c>
      <c r="I23">
        <v>24</v>
      </c>
      <c r="J23">
        <v>23</v>
      </c>
      <c r="K23">
        <v>8</v>
      </c>
      <c r="L23">
        <v>17</v>
      </c>
      <c r="M23">
        <v>5</v>
      </c>
      <c r="N23">
        <v>13</v>
      </c>
      <c r="O23">
        <v>22</v>
      </c>
      <c r="P23">
        <v>18</v>
      </c>
      <c r="Q23" s="9">
        <f>SUM(B23:P23)</f>
        <v>259</v>
      </c>
      <c r="R23">
        <f>Q23/Q$29*100</f>
        <v>92.5</v>
      </c>
      <c r="T23" s="1" t="s">
        <v>10</v>
      </c>
    </row>
    <row r="24" spans="1:22" x14ac:dyDescent="0.2">
      <c r="A24" s="2" t="s">
        <v>19</v>
      </c>
      <c r="C24">
        <v>2</v>
      </c>
      <c r="D24">
        <v>1</v>
      </c>
      <c r="E24">
        <v>2</v>
      </c>
      <c r="G24">
        <v>1</v>
      </c>
      <c r="I24">
        <v>1</v>
      </c>
      <c r="J24">
        <v>3</v>
      </c>
      <c r="L24">
        <v>1</v>
      </c>
      <c r="M24">
        <v>1</v>
      </c>
      <c r="N24">
        <v>2</v>
      </c>
      <c r="O24">
        <v>2</v>
      </c>
      <c r="Q24" s="9">
        <f t="shared" ref="Q24:Q27" si="7">SUM(B24:P24)</f>
        <v>16</v>
      </c>
      <c r="R24">
        <f t="shared" ref="R24:R28" si="8">Q24/Q$29*100</f>
        <v>5.7142857142857144</v>
      </c>
      <c r="T24" s="2" t="s">
        <v>18</v>
      </c>
      <c r="U24" cm="1">
        <f t="array" ref="U24:U30">Q23:Q29</f>
        <v>259</v>
      </c>
    </row>
    <row r="25" spans="1:22" x14ac:dyDescent="0.2">
      <c r="A25" s="2" t="s">
        <v>20</v>
      </c>
      <c r="D25">
        <v>1</v>
      </c>
      <c r="F25">
        <v>1</v>
      </c>
      <c r="N25">
        <v>1</v>
      </c>
      <c r="Q25" s="9">
        <f t="shared" si="7"/>
        <v>3</v>
      </c>
      <c r="R25">
        <f t="shared" si="8"/>
        <v>1.0714285714285714</v>
      </c>
      <c r="T25" s="2" t="s">
        <v>19</v>
      </c>
      <c r="U25">
        <v>16</v>
      </c>
    </row>
    <row r="26" spans="1:22" x14ac:dyDescent="0.2">
      <c r="A26" s="2" t="s">
        <v>21</v>
      </c>
      <c r="Q26" s="9">
        <f t="shared" si="7"/>
        <v>0</v>
      </c>
      <c r="R26">
        <f t="shared" si="8"/>
        <v>0</v>
      </c>
      <c r="T26" s="2" t="s">
        <v>20</v>
      </c>
      <c r="U26">
        <v>3</v>
      </c>
    </row>
    <row r="27" spans="1:22" x14ac:dyDescent="0.2">
      <c r="A27" s="2" t="s">
        <v>22</v>
      </c>
      <c r="B27">
        <v>1</v>
      </c>
      <c r="E27">
        <v>1</v>
      </c>
      <c r="Q27" s="9">
        <f t="shared" si="7"/>
        <v>2</v>
      </c>
      <c r="R27">
        <f t="shared" si="8"/>
        <v>0.7142857142857143</v>
      </c>
      <c r="T27" s="2" t="s">
        <v>21</v>
      </c>
      <c r="U27">
        <v>0</v>
      </c>
    </row>
    <row r="28" spans="1:22" x14ac:dyDescent="0.2">
      <c r="A28" s="2" t="s">
        <v>87</v>
      </c>
      <c r="Q28" s="9">
        <f>SUM(B28:P28)</f>
        <v>0</v>
      </c>
      <c r="R28">
        <f t="shared" si="8"/>
        <v>0</v>
      </c>
      <c r="T28" s="2" t="s">
        <v>22</v>
      </c>
      <c r="U28">
        <v>2</v>
      </c>
    </row>
    <row r="29" spans="1:22" s="2" customFormat="1" x14ac:dyDescent="0.2">
      <c r="A29" s="3" t="s">
        <v>7</v>
      </c>
      <c r="B29" s="3">
        <f t="shared" ref="B29:P29" si="9">(B22)</f>
        <v>0</v>
      </c>
      <c r="C29" s="3">
        <f t="shared" si="9"/>
        <v>0</v>
      </c>
      <c r="D29" s="3">
        <f t="shared" si="9"/>
        <v>0</v>
      </c>
      <c r="E29" s="3">
        <f t="shared" si="9"/>
        <v>0</v>
      </c>
      <c r="F29" s="3">
        <f t="shared" si="9"/>
        <v>0</v>
      </c>
      <c r="G29" s="3">
        <f t="shared" si="9"/>
        <v>0</v>
      </c>
      <c r="H29" s="3">
        <f t="shared" si="9"/>
        <v>0</v>
      </c>
      <c r="I29" s="3">
        <f t="shared" si="9"/>
        <v>0</v>
      </c>
      <c r="J29" s="3">
        <f t="shared" si="9"/>
        <v>0</v>
      </c>
      <c r="K29" s="3">
        <f t="shared" si="9"/>
        <v>0</v>
      </c>
      <c r="L29" s="3">
        <f t="shared" si="9"/>
        <v>0</v>
      </c>
      <c r="M29" s="3">
        <f t="shared" si="9"/>
        <v>0</v>
      </c>
      <c r="N29" s="3">
        <f t="shared" si="9"/>
        <v>0</v>
      </c>
      <c r="O29" s="3">
        <f t="shared" si="9"/>
        <v>0</v>
      </c>
      <c r="P29" s="3">
        <f t="shared" si="9"/>
        <v>0</v>
      </c>
      <c r="Q29" s="6">
        <f>SUM(Q23:Q28)</f>
        <v>280</v>
      </c>
      <c r="R29" s="2" t="s">
        <v>17</v>
      </c>
      <c r="T29" s="2" t="s">
        <v>23</v>
      </c>
      <c r="U29" s="2">
        <v>0</v>
      </c>
    </row>
    <row r="30" spans="1:22" x14ac:dyDescent="0.2">
      <c r="Q30" s="9"/>
      <c r="T30" s="3" t="s">
        <v>7</v>
      </c>
      <c r="U30">
        <v>280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0">(C21+C16+C11+C7)</f>
        <v>100</v>
      </c>
      <c r="D31" s="4">
        <f t="shared" si="10"/>
        <v>100</v>
      </c>
      <c r="E31" s="4">
        <f t="shared" si="10"/>
        <v>100</v>
      </c>
      <c r="F31" s="4">
        <f t="shared" si="10"/>
        <v>100</v>
      </c>
      <c r="G31" s="4">
        <f t="shared" si="10"/>
        <v>100</v>
      </c>
      <c r="H31" s="4">
        <f t="shared" si="10"/>
        <v>100</v>
      </c>
      <c r="I31" s="4">
        <f t="shared" si="10"/>
        <v>100</v>
      </c>
      <c r="J31" s="4">
        <f t="shared" si="10"/>
        <v>100</v>
      </c>
      <c r="K31" s="4">
        <f t="shared" si="10"/>
        <v>100</v>
      </c>
      <c r="L31" s="4">
        <f t="shared" si="10"/>
        <v>100</v>
      </c>
      <c r="M31" s="4">
        <f t="shared" si="10"/>
        <v>100</v>
      </c>
      <c r="N31" s="4">
        <f t="shared" si="10"/>
        <v>100</v>
      </c>
      <c r="O31" s="4">
        <f t="shared" si="10"/>
        <v>100</v>
      </c>
      <c r="P31" s="4">
        <f t="shared" si="10"/>
        <v>100</v>
      </c>
      <c r="Q31" s="7">
        <f>SUM(Q21+Q16+Q11+Q7)</f>
        <v>100.00000000000001</v>
      </c>
    </row>
    <row r="35" spans="1:3" x14ac:dyDescent="0.2">
      <c r="A35" s="4" t="s">
        <v>85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B37">
        <v>3</v>
      </c>
      <c r="C37">
        <f>B37/B$41*100</f>
        <v>10</v>
      </c>
    </row>
    <row r="38" spans="1:3" x14ac:dyDescent="0.2">
      <c r="A38" t="s">
        <v>3</v>
      </c>
      <c r="B38">
        <v>11</v>
      </c>
      <c r="C38">
        <f t="shared" ref="C38:C41" si="11">B38/B$41*100</f>
        <v>36.666666666666664</v>
      </c>
    </row>
    <row r="39" spans="1:3" x14ac:dyDescent="0.2">
      <c r="A39" t="s">
        <v>4</v>
      </c>
      <c r="B39">
        <v>16</v>
      </c>
      <c r="C39">
        <f t="shared" si="11"/>
        <v>53.333333333333336</v>
      </c>
    </row>
    <row r="40" spans="1:3" x14ac:dyDescent="0.2">
      <c r="A40" t="s">
        <v>5</v>
      </c>
      <c r="C40">
        <f t="shared" si="11"/>
        <v>0</v>
      </c>
    </row>
    <row r="41" spans="1:3" x14ac:dyDescent="0.2">
      <c r="A41" s="1" t="s">
        <v>13</v>
      </c>
      <c r="B41">
        <f>(B40+B39+B38+B37)</f>
        <v>30</v>
      </c>
      <c r="C41">
        <f t="shared" si="11"/>
        <v>100</v>
      </c>
    </row>
    <row r="44" spans="1:3" x14ac:dyDescent="0.2">
      <c r="A44" s="1" t="s">
        <v>53</v>
      </c>
    </row>
  </sheetData>
  <conditionalFormatting sqref="B41">
    <cfRule type="cellIs" dxfId="7" priority="1" operator="lessThan">
      <formula>30</formula>
    </cfRule>
    <cfRule type="cellIs" dxfId="6" priority="2" operator="equal">
      <formula>30</formula>
    </cfRule>
  </conditionalFormatting>
  <conditionalFormatting sqref="B31:P31">
    <cfRule type="cellIs" dxfId="5" priority="3" operator="lessThan">
      <formula>100</formula>
    </cfRule>
    <cfRule type="cellIs" dxfId="4" priority="4" operator="equal">
      <formula>100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7DD4-B588-3547-A58B-85CBD96609A3}">
  <sheetPr>
    <tabColor rgb="FF00B0F0"/>
  </sheetPr>
  <dimension ref="A1:V44"/>
  <sheetViews>
    <sheetView zoomScale="86" workbookViewId="0">
      <pane xSplit="1" topLeftCell="B1" activePane="topRight" state="frozen"/>
      <selection pane="topRight" activeCell="U6" sqref="U6:U22"/>
    </sheetView>
  </sheetViews>
  <sheetFormatPr baseColWidth="10" defaultColWidth="11" defaultRowHeight="16" x14ac:dyDescent="0.2"/>
  <cols>
    <col min="1" max="1" width="20.1640625" bestFit="1" customWidth="1"/>
    <col min="17" max="17" width="10.83203125" style="1"/>
    <col min="20" max="20" width="21" bestFit="1" customWidth="1"/>
  </cols>
  <sheetData>
    <row r="1" spans="1:22" x14ac:dyDescent="0.2">
      <c r="A1" s="4" t="s">
        <v>76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 t="s">
        <v>0</v>
      </c>
      <c r="R1" t="s">
        <v>78</v>
      </c>
      <c r="T1" s="1" t="s">
        <v>1</v>
      </c>
    </row>
    <row r="2" spans="1:22" x14ac:dyDescent="0.2">
      <c r="A2" s="1" t="s">
        <v>1</v>
      </c>
      <c r="B2">
        <v>25</v>
      </c>
      <c r="C2">
        <v>40</v>
      </c>
      <c r="D2">
        <v>40</v>
      </c>
      <c r="E2">
        <v>35</v>
      </c>
      <c r="F2">
        <v>25</v>
      </c>
      <c r="G2">
        <v>35</v>
      </c>
      <c r="H2">
        <v>30</v>
      </c>
      <c r="I2">
        <v>25</v>
      </c>
      <c r="J2">
        <v>30</v>
      </c>
      <c r="K2">
        <v>30</v>
      </c>
      <c r="L2">
        <v>40</v>
      </c>
      <c r="M2">
        <v>35</v>
      </c>
      <c r="N2">
        <v>45</v>
      </c>
      <c r="O2">
        <v>25</v>
      </c>
      <c r="P2">
        <v>35</v>
      </c>
      <c r="Q2" s="8"/>
      <c r="R2" t="s">
        <v>77</v>
      </c>
    </row>
    <row r="3" spans="1:22" x14ac:dyDescent="0.2">
      <c r="Q3" s="9"/>
    </row>
    <row r="4" spans="1:22" x14ac:dyDescent="0.2">
      <c r="Q4" s="9"/>
    </row>
    <row r="5" spans="1:22" x14ac:dyDescent="0.2">
      <c r="Q5" s="9"/>
    </row>
    <row r="6" spans="1:22" x14ac:dyDescent="0.2">
      <c r="Q6" s="9"/>
      <c r="T6" s="19" t="s">
        <v>7</v>
      </c>
      <c r="U6">
        <f>Q7</f>
        <v>33</v>
      </c>
    </row>
    <row r="7" spans="1:22" s="2" customFormat="1" x14ac:dyDescent="0.2">
      <c r="A7" s="3" t="s">
        <v>7</v>
      </c>
      <c r="B7" s="3">
        <f>(B2+B3)</f>
        <v>25</v>
      </c>
      <c r="C7" s="3">
        <f t="shared" ref="C7:P7" si="0">(C2+C3)</f>
        <v>40</v>
      </c>
      <c r="D7" s="3">
        <f t="shared" si="0"/>
        <v>40</v>
      </c>
      <c r="E7" s="3">
        <f t="shared" si="0"/>
        <v>35</v>
      </c>
      <c r="F7" s="3">
        <f t="shared" si="0"/>
        <v>25</v>
      </c>
      <c r="G7" s="3">
        <f t="shared" si="0"/>
        <v>35</v>
      </c>
      <c r="H7" s="3">
        <f t="shared" si="0"/>
        <v>30</v>
      </c>
      <c r="I7" s="3">
        <f t="shared" si="0"/>
        <v>25</v>
      </c>
      <c r="J7" s="3">
        <f t="shared" si="0"/>
        <v>30</v>
      </c>
      <c r="K7" s="3">
        <f t="shared" si="0"/>
        <v>30</v>
      </c>
      <c r="L7" s="3">
        <f t="shared" si="0"/>
        <v>40</v>
      </c>
      <c r="M7" s="3">
        <f t="shared" si="0"/>
        <v>35</v>
      </c>
      <c r="N7" s="3">
        <f t="shared" si="0"/>
        <v>45</v>
      </c>
      <c r="O7" s="3">
        <f t="shared" si="0"/>
        <v>25</v>
      </c>
      <c r="P7" s="3">
        <f t="shared" si="0"/>
        <v>35</v>
      </c>
      <c r="Q7" s="5">
        <f>AVERAGE(B7:P7)</f>
        <v>33</v>
      </c>
      <c r="R7" s="2" t="s">
        <v>16</v>
      </c>
      <c r="T7" s="1" t="s">
        <v>6</v>
      </c>
      <c r="U7" s="2">
        <f>Q8/V$10*100</f>
        <v>42.372881355932201</v>
      </c>
    </row>
    <row r="8" spans="1:22" x14ac:dyDescent="0.2">
      <c r="A8" s="1" t="s">
        <v>6</v>
      </c>
      <c r="B8">
        <v>10</v>
      </c>
      <c r="C8">
        <v>20</v>
      </c>
      <c r="F8">
        <v>5</v>
      </c>
      <c r="G8">
        <v>10</v>
      </c>
      <c r="H8">
        <v>10</v>
      </c>
      <c r="I8">
        <v>10</v>
      </c>
      <c r="K8">
        <v>10</v>
      </c>
      <c r="L8">
        <v>10</v>
      </c>
      <c r="M8">
        <v>10</v>
      </c>
      <c r="O8">
        <v>20</v>
      </c>
      <c r="P8">
        <v>10</v>
      </c>
      <c r="Q8" s="9">
        <f>SUM(B8:P8)</f>
        <v>125</v>
      </c>
      <c r="T8" t="s">
        <v>34</v>
      </c>
      <c r="U8" s="2">
        <f t="shared" ref="U8" si="1">Q9/V$10*100</f>
        <v>0</v>
      </c>
    </row>
    <row r="9" spans="1:22" x14ac:dyDescent="0.2">
      <c r="A9" t="s">
        <v>34</v>
      </c>
      <c r="Q9" s="9">
        <f t="shared" ref="Q9:Q10" si="2">SUM(B9:P9)</f>
        <v>0</v>
      </c>
      <c r="T9" t="s">
        <v>47</v>
      </c>
      <c r="U9" s="2">
        <f>Q10/V$10*100</f>
        <v>57.627118644067799</v>
      </c>
    </row>
    <row r="10" spans="1:22" x14ac:dyDescent="0.2">
      <c r="A10" t="s">
        <v>47</v>
      </c>
      <c r="B10">
        <v>10</v>
      </c>
      <c r="C10">
        <v>10</v>
      </c>
      <c r="D10">
        <v>20</v>
      </c>
      <c r="E10">
        <v>15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15</v>
      </c>
      <c r="L10">
        <v>10</v>
      </c>
      <c r="M10">
        <v>10</v>
      </c>
      <c r="N10">
        <v>10</v>
      </c>
      <c r="O10">
        <v>10</v>
      </c>
      <c r="P10">
        <v>10</v>
      </c>
      <c r="Q10" s="9">
        <f t="shared" si="2"/>
        <v>170</v>
      </c>
      <c r="T10" s="19" t="s">
        <v>7</v>
      </c>
      <c r="U10">
        <f>Q11</f>
        <v>19.666666666666668</v>
      </c>
      <c r="V10">
        <f>SUM(Q8:Q10)</f>
        <v>295</v>
      </c>
    </row>
    <row r="11" spans="1:22" s="2" customFormat="1" x14ac:dyDescent="0.2">
      <c r="A11" s="3" t="s">
        <v>7</v>
      </c>
      <c r="B11" s="3">
        <f>(B8+B9+B10)</f>
        <v>20</v>
      </c>
      <c r="C11" s="3">
        <f t="shared" ref="C11:P11" si="3">(C8+C9+C10)</f>
        <v>30</v>
      </c>
      <c r="D11" s="3">
        <f t="shared" si="3"/>
        <v>20</v>
      </c>
      <c r="E11" s="3">
        <f t="shared" si="3"/>
        <v>15</v>
      </c>
      <c r="F11" s="3">
        <f t="shared" si="3"/>
        <v>15</v>
      </c>
      <c r="G11" s="3">
        <f t="shared" si="3"/>
        <v>20</v>
      </c>
      <c r="H11" s="3">
        <f t="shared" si="3"/>
        <v>20</v>
      </c>
      <c r="I11" s="3">
        <f t="shared" si="3"/>
        <v>20</v>
      </c>
      <c r="J11" s="3">
        <f t="shared" si="3"/>
        <v>10</v>
      </c>
      <c r="K11" s="3">
        <f t="shared" si="3"/>
        <v>25</v>
      </c>
      <c r="L11" s="3">
        <f t="shared" si="3"/>
        <v>20</v>
      </c>
      <c r="M11" s="3">
        <f t="shared" si="3"/>
        <v>20</v>
      </c>
      <c r="N11" s="3">
        <f t="shared" si="3"/>
        <v>10</v>
      </c>
      <c r="O11" s="3">
        <f t="shared" si="3"/>
        <v>30</v>
      </c>
      <c r="P11" s="3">
        <f t="shared" si="3"/>
        <v>20</v>
      </c>
      <c r="Q11" s="5">
        <f>AVERAGE(B11:P11)</f>
        <v>19.666666666666668</v>
      </c>
      <c r="R11" s="2" t="s">
        <v>16</v>
      </c>
      <c r="T11" s="1" t="s">
        <v>8</v>
      </c>
    </row>
    <row r="12" spans="1:22" x14ac:dyDescent="0.2">
      <c r="A12" s="1" t="s">
        <v>8</v>
      </c>
      <c r="B12">
        <v>40</v>
      </c>
      <c r="C12">
        <v>25</v>
      </c>
      <c r="D12">
        <v>20</v>
      </c>
      <c r="E12">
        <v>30</v>
      </c>
      <c r="F12">
        <v>50</v>
      </c>
      <c r="G12">
        <v>30</v>
      </c>
      <c r="H12">
        <v>35</v>
      </c>
      <c r="I12">
        <v>35</v>
      </c>
      <c r="J12">
        <v>40</v>
      </c>
      <c r="K12">
        <v>25</v>
      </c>
      <c r="L12">
        <v>30</v>
      </c>
      <c r="M12">
        <v>30</v>
      </c>
      <c r="N12">
        <v>35</v>
      </c>
      <c r="O12">
        <v>20</v>
      </c>
      <c r="P12">
        <v>30</v>
      </c>
      <c r="Q12" s="9"/>
      <c r="T12" s="1"/>
    </row>
    <row r="13" spans="1:22" x14ac:dyDescent="0.2">
      <c r="A13" s="1"/>
      <c r="Q13" s="9"/>
      <c r="T13" s="1"/>
    </row>
    <row r="14" spans="1:22" x14ac:dyDescent="0.2">
      <c r="A14" s="1"/>
      <c r="Q14" s="9"/>
    </row>
    <row r="15" spans="1:22" x14ac:dyDescent="0.2">
      <c r="Q15" s="9"/>
      <c r="T15" s="19" t="s">
        <v>7</v>
      </c>
      <c r="U15">
        <f>Q16</f>
        <v>31.666666666666668</v>
      </c>
    </row>
    <row r="16" spans="1:22" s="2" customFormat="1" x14ac:dyDescent="0.2">
      <c r="A16" s="3" t="s">
        <v>7</v>
      </c>
      <c r="B16" s="3">
        <f>(B12)</f>
        <v>40</v>
      </c>
      <c r="C16" s="3">
        <f t="shared" ref="C16:P16" si="4">(C12)</f>
        <v>25</v>
      </c>
      <c r="D16" s="3">
        <f t="shared" si="4"/>
        <v>20</v>
      </c>
      <c r="E16" s="3">
        <f t="shared" si="4"/>
        <v>30</v>
      </c>
      <c r="F16" s="3">
        <f t="shared" si="4"/>
        <v>50</v>
      </c>
      <c r="G16" s="3">
        <f t="shared" si="4"/>
        <v>30</v>
      </c>
      <c r="H16" s="3">
        <f t="shared" si="4"/>
        <v>35</v>
      </c>
      <c r="I16" s="3">
        <f t="shared" si="4"/>
        <v>35</v>
      </c>
      <c r="J16" s="3">
        <f>(J12)</f>
        <v>40</v>
      </c>
      <c r="K16" s="3">
        <f t="shared" si="4"/>
        <v>25</v>
      </c>
      <c r="L16" s="3">
        <f t="shared" si="4"/>
        <v>30</v>
      </c>
      <c r="M16" s="3">
        <f t="shared" si="4"/>
        <v>30</v>
      </c>
      <c r="N16" s="3">
        <f t="shared" si="4"/>
        <v>35</v>
      </c>
      <c r="O16" s="3">
        <f t="shared" si="4"/>
        <v>20</v>
      </c>
      <c r="P16" s="3">
        <f t="shared" si="4"/>
        <v>30</v>
      </c>
      <c r="Q16" s="5">
        <f>AVERAGE(B16:P16)</f>
        <v>31.666666666666668</v>
      </c>
      <c r="R16" s="2" t="s">
        <v>16</v>
      </c>
      <c r="T16" s="1" t="s">
        <v>9</v>
      </c>
      <c r="U16" s="2">
        <f>Q17/V$22*100</f>
        <v>6.3829787234042552</v>
      </c>
    </row>
    <row r="17" spans="1:22" x14ac:dyDescent="0.2">
      <c r="A17" s="1" t="s">
        <v>9</v>
      </c>
      <c r="B17">
        <v>5</v>
      </c>
      <c r="F17">
        <v>5</v>
      </c>
      <c r="I17">
        <v>5</v>
      </c>
      <c r="Q17" s="9">
        <f>SUM(B17:P17)</f>
        <v>15</v>
      </c>
      <c r="T17" s="2" t="s">
        <v>14</v>
      </c>
      <c r="U17" s="2">
        <f>Q18/V$22*100</f>
        <v>91.489361702127653</v>
      </c>
    </row>
    <row r="18" spans="1:22" x14ac:dyDescent="0.2">
      <c r="A18" s="2" t="s">
        <v>14</v>
      </c>
      <c r="B18">
        <v>10</v>
      </c>
      <c r="C18">
        <v>5</v>
      </c>
      <c r="D18">
        <v>20</v>
      </c>
      <c r="E18">
        <v>20</v>
      </c>
      <c r="F18">
        <v>5</v>
      </c>
      <c r="G18">
        <v>15</v>
      </c>
      <c r="H18">
        <v>15</v>
      </c>
      <c r="I18">
        <v>15</v>
      </c>
      <c r="J18">
        <v>20</v>
      </c>
      <c r="K18">
        <v>20</v>
      </c>
      <c r="L18">
        <v>10</v>
      </c>
      <c r="M18">
        <v>10</v>
      </c>
      <c r="N18">
        <v>10</v>
      </c>
      <c r="O18">
        <v>25</v>
      </c>
      <c r="P18">
        <v>15</v>
      </c>
      <c r="Q18" s="9">
        <f t="shared" ref="Q18:Q20" si="5">SUM(B18:P18)</f>
        <v>215</v>
      </c>
      <c r="T18" t="s">
        <v>26</v>
      </c>
    </row>
    <row r="19" spans="1:22" x14ac:dyDescent="0.2">
      <c r="A19" t="s">
        <v>26</v>
      </c>
      <c r="Q19" s="9">
        <f t="shared" si="5"/>
        <v>0</v>
      </c>
      <c r="R19" t="s">
        <v>42</v>
      </c>
      <c r="T19" t="s">
        <v>65</v>
      </c>
    </row>
    <row r="20" spans="1:22" x14ac:dyDescent="0.2">
      <c r="A20" t="s">
        <v>73</v>
      </c>
      <c r="M20">
        <v>5</v>
      </c>
      <c r="Q20" s="9">
        <f t="shared" si="5"/>
        <v>5</v>
      </c>
      <c r="T20" t="s">
        <v>66</v>
      </c>
      <c r="U20">
        <f>Q20/V$22*100</f>
        <v>2.1276595744680851</v>
      </c>
    </row>
    <row r="21" spans="1:22" s="2" customFormat="1" x14ac:dyDescent="0.2">
      <c r="A21" s="3" t="s">
        <v>7</v>
      </c>
      <c r="B21" s="3">
        <f>(B17+B18)</f>
        <v>15</v>
      </c>
      <c r="C21" s="3">
        <f t="shared" ref="C21:P21" si="6">(C17+C18)</f>
        <v>5</v>
      </c>
      <c r="D21" s="3">
        <f t="shared" si="6"/>
        <v>20</v>
      </c>
      <c r="E21" s="3">
        <f t="shared" si="6"/>
        <v>20</v>
      </c>
      <c r="F21" s="3">
        <f t="shared" si="6"/>
        <v>10</v>
      </c>
      <c r="G21" s="3">
        <f t="shared" si="6"/>
        <v>15</v>
      </c>
      <c r="H21" s="3">
        <f t="shared" si="6"/>
        <v>15</v>
      </c>
      <c r="I21" s="3">
        <f t="shared" si="6"/>
        <v>20</v>
      </c>
      <c r="J21" s="3">
        <f t="shared" si="6"/>
        <v>20</v>
      </c>
      <c r="K21" s="3">
        <f t="shared" si="6"/>
        <v>20</v>
      </c>
      <c r="L21" s="3">
        <f t="shared" si="6"/>
        <v>10</v>
      </c>
      <c r="M21" s="3">
        <f>(M17+M18+M20)</f>
        <v>15</v>
      </c>
      <c r="N21" s="3">
        <f t="shared" si="6"/>
        <v>10</v>
      </c>
      <c r="O21" s="3">
        <f t="shared" si="6"/>
        <v>25</v>
      </c>
      <c r="P21" s="3">
        <f t="shared" si="6"/>
        <v>15</v>
      </c>
      <c r="Q21" s="5">
        <f>AVERAGE(B21:P21)</f>
        <v>15.666666666666666</v>
      </c>
      <c r="R21" s="2" t="s">
        <v>16</v>
      </c>
      <c r="T21" t="s">
        <v>89</v>
      </c>
    </row>
    <row r="22" spans="1:22" x14ac:dyDescent="0.2">
      <c r="A22" s="1" t="s">
        <v>10</v>
      </c>
      <c r="Q22" s="11" t="s">
        <v>39</v>
      </c>
      <c r="R22" s="12" t="s">
        <v>38</v>
      </c>
      <c r="T22" s="19" t="s">
        <v>7</v>
      </c>
      <c r="U22">
        <f>Q21</f>
        <v>15.666666666666666</v>
      </c>
      <c r="V22">
        <f>SUM(Q17:Q20)</f>
        <v>235</v>
      </c>
    </row>
    <row r="23" spans="1:22" x14ac:dyDescent="0.2">
      <c r="A23" s="2" t="s">
        <v>18</v>
      </c>
      <c r="B23">
        <v>9</v>
      </c>
      <c r="C23">
        <v>10</v>
      </c>
      <c r="D23">
        <v>12</v>
      </c>
      <c r="E23">
        <v>10</v>
      </c>
      <c r="F23">
        <v>15</v>
      </c>
      <c r="G23">
        <v>7</v>
      </c>
      <c r="H23">
        <v>11</v>
      </c>
      <c r="I23">
        <v>10</v>
      </c>
      <c r="J23">
        <v>5</v>
      </c>
      <c r="K23">
        <v>12</v>
      </c>
      <c r="L23">
        <v>16</v>
      </c>
      <c r="M23">
        <v>11</v>
      </c>
      <c r="N23">
        <v>12</v>
      </c>
      <c r="O23">
        <v>7</v>
      </c>
      <c r="P23">
        <v>7</v>
      </c>
      <c r="Q23" s="9">
        <f>SUM(B23:P23)</f>
        <v>154</v>
      </c>
      <c r="R23">
        <f>Q23/Q$29*100</f>
        <v>93.902439024390233</v>
      </c>
      <c r="T23" s="1" t="s">
        <v>10</v>
      </c>
    </row>
    <row r="24" spans="1:22" x14ac:dyDescent="0.2">
      <c r="A24" s="2" t="s">
        <v>19</v>
      </c>
      <c r="E24">
        <v>2</v>
      </c>
      <c r="J24">
        <v>1</v>
      </c>
      <c r="M24">
        <v>2</v>
      </c>
      <c r="N24">
        <v>1</v>
      </c>
      <c r="O24">
        <v>2</v>
      </c>
      <c r="Q24" s="9">
        <f t="shared" ref="Q24:Q27" si="7">SUM(B24:P24)</f>
        <v>8</v>
      </c>
      <c r="R24">
        <f t="shared" ref="R24:R28" si="8">Q24/Q$29*100</f>
        <v>4.8780487804878048</v>
      </c>
      <c r="T24" s="2" t="s">
        <v>18</v>
      </c>
      <c r="U24" cm="1">
        <f t="array" ref="U24:U30">Q23:Q29</f>
        <v>154</v>
      </c>
    </row>
    <row r="25" spans="1:22" x14ac:dyDescent="0.2">
      <c r="A25" s="2" t="s">
        <v>20</v>
      </c>
      <c r="I25">
        <v>1</v>
      </c>
      <c r="P25">
        <v>1</v>
      </c>
      <c r="Q25" s="9">
        <f t="shared" si="7"/>
        <v>2</v>
      </c>
      <c r="R25">
        <f t="shared" si="8"/>
        <v>1.2195121951219512</v>
      </c>
      <c r="T25" s="2" t="s">
        <v>19</v>
      </c>
      <c r="U25">
        <v>8</v>
      </c>
    </row>
    <row r="26" spans="1:22" x14ac:dyDescent="0.2">
      <c r="A26" s="2" t="s">
        <v>21</v>
      </c>
      <c r="Q26" s="9">
        <f t="shared" si="7"/>
        <v>0</v>
      </c>
      <c r="R26">
        <f t="shared" si="8"/>
        <v>0</v>
      </c>
      <c r="T26" s="2" t="s">
        <v>20</v>
      </c>
      <c r="U26">
        <v>2</v>
      </c>
    </row>
    <row r="27" spans="1:22" x14ac:dyDescent="0.2">
      <c r="A27" s="2" t="s">
        <v>22</v>
      </c>
      <c r="Q27" s="9">
        <f t="shared" si="7"/>
        <v>0</v>
      </c>
      <c r="R27">
        <f t="shared" si="8"/>
        <v>0</v>
      </c>
      <c r="T27" s="2" t="s">
        <v>21</v>
      </c>
      <c r="U27">
        <v>0</v>
      </c>
    </row>
    <row r="28" spans="1:22" x14ac:dyDescent="0.2">
      <c r="A28" s="2" t="s">
        <v>23</v>
      </c>
      <c r="Q28" s="9">
        <f>SUM(B28:P28)</f>
        <v>0</v>
      </c>
      <c r="R28">
        <f t="shared" si="8"/>
        <v>0</v>
      </c>
      <c r="T28" s="2" t="s">
        <v>22</v>
      </c>
      <c r="U28">
        <v>0</v>
      </c>
    </row>
    <row r="29" spans="1:22" s="2" customFormat="1" x14ac:dyDescent="0.2">
      <c r="A29" s="3" t="s">
        <v>7</v>
      </c>
      <c r="B29" s="3">
        <f t="shared" ref="B29:P29" si="9">(B22)</f>
        <v>0</v>
      </c>
      <c r="C29" s="3">
        <f t="shared" si="9"/>
        <v>0</v>
      </c>
      <c r="D29" s="3">
        <f t="shared" si="9"/>
        <v>0</v>
      </c>
      <c r="E29" s="3">
        <f t="shared" si="9"/>
        <v>0</v>
      </c>
      <c r="F29" s="3">
        <f t="shared" si="9"/>
        <v>0</v>
      </c>
      <c r="G29" s="3">
        <f t="shared" si="9"/>
        <v>0</v>
      </c>
      <c r="H29" s="3">
        <f t="shared" si="9"/>
        <v>0</v>
      </c>
      <c r="I29" s="3">
        <f t="shared" si="9"/>
        <v>0</v>
      </c>
      <c r="J29" s="3">
        <f t="shared" si="9"/>
        <v>0</v>
      </c>
      <c r="K29" s="3">
        <f t="shared" si="9"/>
        <v>0</v>
      </c>
      <c r="L29" s="3">
        <f t="shared" si="9"/>
        <v>0</v>
      </c>
      <c r="M29" s="3">
        <f t="shared" si="9"/>
        <v>0</v>
      </c>
      <c r="N29" s="3">
        <f t="shared" si="9"/>
        <v>0</v>
      </c>
      <c r="O29" s="3">
        <f t="shared" si="9"/>
        <v>0</v>
      </c>
      <c r="P29" s="3">
        <f t="shared" si="9"/>
        <v>0</v>
      </c>
      <c r="Q29" s="6">
        <f>SUM(Q23:Q28)</f>
        <v>164</v>
      </c>
      <c r="R29" s="2" t="s">
        <v>17</v>
      </c>
      <c r="T29" s="2" t="s">
        <v>23</v>
      </c>
      <c r="U29" s="2">
        <v>0</v>
      </c>
    </row>
    <row r="30" spans="1:22" x14ac:dyDescent="0.2">
      <c r="Q30" s="9"/>
      <c r="T30" s="3" t="s">
        <v>7</v>
      </c>
      <c r="U30">
        <v>164</v>
      </c>
    </row>
    <row r="31" spans="1:22" s="1" customFormat="1" x14ac:dyDescent="0.2">
      <c r="A31" s="4" t="s">
        <v>11</v>
      </c>
      <c r="B31" s="4">
        <f>(B21+B16+B11+B7)</f>
        <v>100</v>
      </c>
      <c r="C31" s="4">
        <f t="shared" ref="C31:P31" si="10">(C21+C16+C11+C7)</f>
        <v>100</v>
      </c>
      <c r="D31" s="4">
        <f t="shared" si="10"/>
        <v>100</v>
      </c>
      <c r="E31" s="4">
        <f t="shared" si="10"/>
        <v>100</v>
      </c>
      <c r="F31" s="4">
        <f t="shared" si="10"/>
        <v>100</v>
      </c>
      <c r="G31" s="4">
        <f t="shared" si="10"/>
        <v>100</v>
      </c>
      <c r="H31" s="4">
        <f t="shared" si="10"/>
        <v>100</v>
      </c>
      <c r="I31" s="4">
        <f t="shared" si="10"/>
        <v>100</v>
      </c>
      <c r="J31" s="4">
        <f t="shared" si="10"/>
        <v>100</v>
      </c>
      <c r="K31" s="4">
        <f t="shared" si="10"/>
        <v>100</v>
      </c>
      <c r="L31" s="4">
        <f t="shared" si="10"/>
        <v>100</v>
      </c>
      <c r="M31" s="4">
        <f t="shared" si="10"/>
        <v>100</v>
      </c>
      <c r="N31" s="4">
        <f t="shared" si="10"/>
        <v>100</v>
      </c>
      <c r="O31" s="4">
        <f t="shared" si="10"/>
        <v>100</v>
      </c>
      <c r="P31" s="4">
        <f t="shared" si="10"/>
        <v>100</v>
      </c>
      <c r="Q31" s="7">
        <f>SUM(Q21+Q16+Q11+Q7)</f>
        <v>100</v>
      </c>
    </row>
    <row r="35" spans="1:3" x14ac:dyDescent="0.2">
      <c r="A35" s="4" t="s">
        <v>76</v>
      </c>
    </row>
    <row r="36" spans="1:3" x14ac:dyDescent="0.2">
      <c r="A36" s="1" t="s">
        <v>12</v>
      </c>
      <c r="B36" t="s">
        <v>24</v>
      </c>
      <c r="C36" t="s">
        <v>0</v>
      </c>
    </row>
    <row r="37" spans="1:3" x14ac:dyDescent="0.2">
      <c r="A37" t="s">
        <v>2</v>
      </c>
      <c r="B37">
        <v>4</v>
      </c>
      <c r="C37">
        <f>B37/B$41*100</f>
        <v>13.333333333333334</v>
      </c>
    </row>
    <row r="38" spans="1:3" x14ac:dyDescent="0.2">
      <c r="A38" t="s">
        <v>3</v>
      </c>
      <c r="B38">
        <v>13</v>
      </c>
      <c r="C38">
        <f t="shared" ref="C38:C41" si="11">B38/B$41*100</f>
        <v>43.333333333333336</v>
      </c>
    </row>
    <row r="39" spans="1:3" x14ac:dyDescent="0.2">
      <c r="A39" t="s">
        <v>4</v>
      </c>
      <c r="B39">
        <v>10</v>
      </c>
      <c r="C39">
        <f t="shared" si="11"/>
        <v>33.333333333333329</v>
      </c>
    </row>
    <row r="40" spans="1:3" x14ac:dyDescent="0.2">
      <c r="A40" t="s">
        <v>5</v>
      </c>
      <c r="B40">
        <v>3</v>
      </c>
      <c r="C40">
        <f t="shared" si="11"/>
        <v>10</v>
      </c>
    </row>
    <row r="41" spans="1:3" x14ac:dyDescent="0.2">
      <c r="A41" s="1" t="s">
        <v>13</v>
      </c>
      <c r="B41">
        <f>(B40+B39+B38+B37)</f>
        <v>30</v>
      </c>
      <c r="C41">
        <f t="shared" si="11"/>
        <v>100</v>
      </c>
    </row>
    <row r="44" spans="1:3" x14ac:dyDescent="0.2">
      <c r="A44" s="1" t="s">
        <v>53</v>
      </c>
    </row>
  </sheetData>
  <conditionalFormatting sqref="B41">
    <cfRule type="cellIs" dxfId="3" priority="1" operator="lessThan">
      <formula>30</formula>
    </cfRule>
    <cfRule type="cellIs" dxfId="2" priority="2" operator="equal">
      <formula>30</formula>
    </cfRule>
  </conditionalFormatting>
  <conditionalFormatting sqref="B31:P31">
    <cfRule type="cellIs" dxfId="1" priority="3" operator="lessThan">
      <formula>100</formula>
    </cfRule>
    <cfRule type="cellIs" dxfId="0" priority="4" operator="equal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Sheet2</vt:lpstr>
      <vt:lpstr>MF template</vt:lpstr>
      <vt:lpstr>MF master count sheet</vt:lpstr>
      <vt:lpstr>% whole count</vt:lpstr>
      <vt:lpstr>Charcoal group layout </vt:lpstr>
      <vt:lpstr>rioja group layout</vt:lpstr>
      <vt:lpstr>rioja sub group layout</vt:lpstr>
      <vt:lpstr>9-10 cm</vt:lpstr>
      <vt:lpstr>19-20 cm </vt:lpstr>
      <vt:lpstr>29-30 cm </vt:lpstr>
      <vt:lpstr>39-40cm</vt:lpstr>
      <vt:lpstr>50-51 cm</vt:lpstr>
      <vt:lpstr>59-60 cm</vt:lpstr>
      <vt:lpstr>69-70 cm</vt:lpstr>
      <vt:lpstr>79-80 cm</vt:lpstr>
      <vt:lpstr>89-90cm</vt:lpstr>
      <vt:lpstr>100-101 cm</vt:lpstr>
      <vt:lpstr>109-110 cm</vt:lpstr>
      <vt:lpstr>119-120 cm</vt:lpstr>
      <vt:lpstr>129-130 cm</vt:lpstr>
      <vt:lpstr>139-140cm</vt:lpstr>
      <vt:lpstr>149-150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EDGAR PATRICK RYAN</dc:creator>
  <cp:lastModifiedBy>WILL EDGAR PATRICK RYAN</cp:lastModifiedBy>
  <dcterms:created xsi:type="dcterms:W3CDTF">2026-05-26T12:59:57Z</dcterms:created>
  <dcterms:modified xsi:type="dcterms:W3CDTF">2026-07-23T12:30:38Z</dcterms:modified>
</cp:coreProperties>
</file>