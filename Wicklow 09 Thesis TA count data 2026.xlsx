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ynoothuniversity-my.sharepoint.com/personal/will_ryan_2026_mumail_ie/Documents/GY660[A] — Thesis/"/>
    </mc:Choice>
  </mc:AlternateContent>
  <xr:revisionPtr revIDLastSave="586" documentId="8_{238EAA3A-C650-4BF0-AFE6-CB303FDB11A2}" xr6:coauthVersionLast="47" xr6:coauthVersionMax="47" xr10:uidLastSave="{1FCA92EB-B8F2-4948-AF7F-8295A1D25C9C}"/>
  <bookViews>
    <workbookView xWindow="0" yWindow="600" windowWidth="28800" windowHeight="15600" firstSheet="1" activeTab="5" xr2:uid="{00000000-000D-0000-FFFF-FFFF00000000}"/>
  </bookViews>
  <sheets>
    <sheet name="Processing info" sheetId="2" r:id="rId1"/>
    <sheet name="Raw wicklow09 data" sheetId="1" r:id="rId2"/>
    <sheet name="clean wicklow09 data" sheetId="7" r:id="rId3"/>
    <sheet name="clean wicklow090 data (Ordered)" sheetId="6" r:id="rId4"/>
    <sheet name="Wicklow09 percentages" sheetId="5" r:id="rId5"/>
    <sheet name="Wicklow09 clean (Grouped)" sheetId="4" r:id="rId6"/>
    <sheet name="Amesbury table 2 sheet" sheetId="8" r:id="rId7"/>
    <sheet name="Wicklow % rioja transposed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4" l="1"/>
  <c r="E98" i="4" l="1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E67" i="4" l="1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D67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D66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D72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K39" i="6"/>
  <c r="E39" i="6"/>
  <c r="F39" i="6"/>
  <c r="G39" i="6"/>
  <c r="H39" i="6"/>
  <c r="I39" i="6"/>
  <c r="J39" i="6"/>
  <c r="L39" i="6"/>
  <c r="M39" i="6"/>
  <c r="N39" i="6"/>
  <c r="O39" i="6"/>
  <c r="P39" i="6"/>
  <c r="Q39" i="6"/>
  <c r="R39" i="6"/>
  <c r="D39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D35" i="6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U7" i="7"/>
  <c r="U6" i="7"/>
  <c r="U5" i="7"/>
  <c r="U4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S3" i="8" a="1"/>
  <c r="C184" i="8"/>
  <c r="B184" i="8"/>
  <c r="C183" i="8"/>
  <c r="B183" i="8"/>
  <c r="C182" i="8"/>
  <c r="B182" i="8"/>
  <c r="C181" i="8"/>
  <c r="B181" i="8"/>
  <c r="C180" i="8"/>
  <c r="B180" i="8"/>
  <c r="C179" i="8"/>
  <c r="B179" i="8"/>
  <c r="C178" i="8"/>
  <c r="B178" i="8"/>
  <c r="B177" i="8"/>
  <c r="C176" i="8"/>
  <c r="B176" i="8"/>
  <c r="C175" i="8"/>
  <c r="B175" i="8"/>
  <c r="C174" i="8"/>
  <c r="B174" i="8"/>
  <c r="C173" i="8"/>
  <c r="B173" i="8"/>
  <c r="C172" i="8"/>
  <c r="B172" i="8"/>
  <c r="C171" i="8"/>
  <c r="B171" i="8"/>
  <c r="C170" i="8"/>
  <c r="B170" i="8"/>
  <c r="C169" i="8"/>
  <c r="B169" i="8"/>
  <c r="C168" i="8"/>
  <c r="B168" i="8"/>
  <c r="C167" i="8"/>
  <c r="B167" i="8"/>
  <c r="C166" i="8"/>
  <c r="B166" i="8"/>
  <c r="C165" i="8"/>
  <c r="B165" i="8"/>
  <c r="C164" i="8"/>
  <c r="B164" i="8"/>
  <c r="C163" i="8"/>
  <c r="B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O34" i="8"/>
  <c r="N34" i="8"/>
  <c r="L34" i="8"/>
  <c r="C34" i="8"/>
  <c r="O33" i="8"/>
  <c r="N33" i="8"/>
  <c r="L33" i="8"/>
  <c r="C33" i="8"/>
  <c r="O32" i="8"/>
  <c r="N32" i="8"/>
  <c r="L32" i="8"/>
  <c r="C32" i="8"/>
  <c r="O31" i="8"/>
  <c r="N31" i="8"/>
  <c r="L31" i="8"/>
  <c r="C31" i="8"/>
  <c r="O30" i="8"/>
  <c r="N30" i="8"/>
  <c r="L30" i="8"/>
  <c r="C30" i="8"/>
  <c r="O29" i="8"/>
  <c r="N29" i="8"/>
  <c r="L29" i="8"/>
  <c r="C29" i="8"/>
  <c r="O28" i="8"/>
  <c r="N28" i="8"/>
  <c r="L28" i="8"/>
  <c r="C28" i="8"/>
  <c r="O27" i="8"/>
  <c r="N27" i="8"/>
  <c r="L27" i="8"/>
  <c r="C27" i="8"/>
  <c r="O26" i="8"/>
  <c r="N26" i="8"/>
  <c r="L26" i="8"/>
  <c r="C26" i="8"/>
  <c r="O25" i="8"/>
  <c r="N25" i="8"/>
  <c r="L25" i="8"/>
  <c r="C25" i="8"/>
  <c r="O24" i="8"/>
  <c r="N24" i="8"/>
  <c r="L24" i="8"/>
  <c r="C24" i="8"/>
  <c r="O23" i="8"/>
  <c r="N23" i="8"/>
  <c r="L23" i="8"/>
  <c r="C23" i="8"/>
  <c r="O22" i="8"/>
  <c r="N22" i="8"/>
  <c r="L22" i="8"/>
  <c r="C22" i="8"/>
  <c r="O21" i="8"/>
  <c r="N21" i="8"/>
  <c r="L21" i="8"/>
  <c r="C21" i="8"/>
  <c r="O20" i="8"/>
  <c r="N20" i="8"/>
  <c r="L20" i="8"/>
  <c r="C20" i="8"/>
  <c r="O19" i="8"/>
  <c r="N19" i="8"/>
  <c r="L19" i="8"/>
  <c r="C19" i="8"/>
  <c r="O18" i="8"/>
  <c r="N18" i="8"/>
  <c r="L18" i="8"/>
  <c r="C18" i="8"/>
  <c r="O17" i="8"/>
  <c r="N17" i="8"/>
  <c r="L17" i="8"/>
  <c r="C17" i="8"/>
  <c r="O16" i="8"/>
  <c r="N16" i="8"/>
  <c r="L16" i="8"/>
  <c r="C16" i="8"/>
  <c r="O15" i="8"/>
  <c r="N15" i="8"/>
  <c r="L15" i="8"/>
  <c r="C15" i="8"/>
  <c r="O14" i="8"/>
  <c r="N14" i="8"/>
  <c r="L14" i="8"/>
  <c r="C14" i="8"/>
  <c r="O13" i="8"/>
  <c r="N13" i="8"/>
  <c r="L13" i="8"/>
  <c r="C13" i="8"/>
  <c r="O12" i="8"/>
  <c r="N12" i="8"/>
  <c r="L12" i="8"/>
  <c r="C12" i="8"/>
  <c r="O11" i="8"/>
  <c r="N11" i="8"/>
  <c r="L11" i="8"/>
  <c r="C11" i="8"/>
  <c r="O10" i="8"/>
  <c r="N10" i="8"/>
  <c r="L10" i="8"/>
  <c r="C10" i="8"/>
  <c r="O9" i="8"/>
  <c r="N9" i="8"/>
  <c r="L9" i="8"/>
  <c r="C9" i="8"/>
  <c r="O8" i="8"/>
  <c r="N8" i="8"/>
  <c r="L8" i="8"/>
  <c r="C8" i="8"/>
  <c r="O7" i="8"/>
  <c r="N7" i="8"/>
  <c r="L7" i="8"/>
  <c r="C7" i="8"/>
  <c r="O6" i="8"/>
  <c r="N6" i="8"/>
  <c r="L6" i="8"/>
  <c r="C6" i="8"/>
  <c r="O5" i="8"/>
  <c r="N5" i="8"/>
  <c r="L5" i="8"/>
  <c r="C5" i="8"/>
  <c r="O4" i="8"/>
  <c r="N4" i="8"/>
  <c r="L4" i="8"/>
  <c r="C4" i="8"/>
  <c r="O3" i="8"/>
  <c r="N3" i="8"/>
  <c r="L3" i="8"/>
  <c r="C3" i="8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4" i="1"/>
  <c r="K3" i="1"/>
  <c r="K37" i="1"/>
  <c r="J37" i="1"/>
  <c r="L37" i="1"/>
  <c r="C37" i="1"/>
  <c r="D37" i="1"/>
  <c r="E37" i="1"/>
  <c r="F37" i="1"/>
  <c r="G37" i="1"/>
  <c r="H37" i="1"/>
  <c r="I37" i="1"/>
  <c r="P37" i="1"/>
  <c r="M37" i="1"/>
  <c r="N37" i="1"/>
  <c r="O37" i="1"/>
  <c r="B37" i="1"/>
  <c r="F3" i="1"/>
  <c r="G3" i="1"/>
  <c r="H3" i="1"/>
  <c r="I3" i="1"/>
  <c r="J3" i="1"/>
  <c r="L3" i="1"/>
  <c r="M3" i="1"/>
  <c r="N3" i="1"/>
  <c r="O3" i="1"/>
  <c r="P3" i="1"/>
  <c r="C3" i="1"/>
  <c r="D3" i="1"/>
  <c r="E3" i="1"/>
  <c r="B3" i="1"/>
  <c r="D74" i="4" l="1"/>
  <c r="D82" i="4"/>
  <c r="D90" i="4"/>
  <c r="D73" i="4"/>
  <c r="D81" i="4"/>
  <c r="D89" i="4"/>
  <c r="D72" i="4"/>
  <c r="D80" i="4"/>
  <c r="D88" i="4"/>
  <c r="D96" i="4"/>
  <c r="D71" i="4"/>
  <c r="D79" i="4"/>
  <c r="D87" i="4"/>
  <c r="D95" i="4"/>
  <c r="D78" i="4"/>
  <c r="D86" i="4"/>
  <c r="D94" i="4"/>
  <c r="D77" i="4"/>
  <c r="D85" i="4"/>
  <c r="D93" i="4"/>
  <c r="D76" i="4"/>
  <c r="D84" i="4"/>
  <c r="D92" i="4"/>
  <c r="D75" i="4"/>
  <c r="D83" i="4"/>
  <c r="D91" i="4"/>
  <c r="D70" i="4"/>
  <c r="V37" i="7"/>
  <c r="S3" i="8"/>
  <c r="S37" i="1"/>
  <c r="D98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<sst xmlns="http://schemas.openxmlformats.org/spreadsheetml/2006/main" count="1576" uniqueCount="466">
  <si>
    <t>Please fill in depths counted and species number counted in each sample, add species as needed</t>
  </si>
  <si>
    <t xml:space="preserve">    </t>
  </si>
  <si>
    <t>Depth</t>
  </si>
  <si>
    <t>Top Depth (cm)</t>
  </si>
  <si>
    <t>Assulina muscorum</t>
  </si>
  <si>
    <t>Amphitrema wrightianum</t>
  </si>
  <si>
    <t xml:space="preserve">Alabasta militaris </t>
  </si>
  <si>
    <t>Difflugia pulex</t>
  </si>
  <si>
    <t>Testate raw count data Wicklow09 Will Ryan</t>
  </si>
  <si>
    <t>Amphitrema stenostoma</t>
  </si>
  <si>
    <t>Archella flavum</t>
  </si>
  <si>
    <t>Assulina seminulum</t>
  </si>
  <si>
    <t>Centropyxis aculeata type</t>
  </si>
  <si>
    <t>Centropyxis cassis type</t>
  </si>
  <si>
    <t xml:space="preserve">Corythion-Trinema type </t>
  </si>
  <si>
    <t>Corythion dubium</t>
  </si>
  <si>
    <t xml:space="preserve">Cryptodifflugia oviformis </t>
  </si>
  <si>
    <t xml:space="preserve">Cyclopyxis arcelloides type </t>
  </si>
  <si>
    <t>Difflugia lanceolata</t>
  </si>
  <si>
    <t xml:space="preserve">Difflugia oblonga type </t>
  </si>
  <si>
    <t xml:space="preserve">Difflugia pristis type </t>
  </si>
  <si>
    <t xml:space="preserve">Euglypha rotunda type </t>
  </si>
  <si>
    <t xml:space="preserve">Euglypha tuberculata type </t>
  </si>
  <si>
    <t xml:space="preserve">Galeripora discoides type </t>
  </si>
  <si>
    <t xml:space="preserve">Heleopera petricola </t>
  </si>
  <si>
    <t>Heleopera rosea</t>
  </si>
  <si>
    <t>Heleopera sphagni</t>
  </si>
  <si>
    <t>Heleopera sylvatica</t>
  </si>
  <si>
    <t>Hyalosphenia elegans</t>
  </si>
  <si>
    <t>Hyalosphenia ovalis</t>
  </si>
  <si>
    <t>Hyalosphenia papilo</t>
  </si>
  <si>
    <t>Hyalosphenia subflava</t>
  </si>
  <si>
    <t xml:space="preserve">Nebela collaris </t>
  </si>
  <si>
    <t>Nebela flebellulum</t>
  </si>
  <si>
    <t>Nebela tincta</t>
  </si>
  <si>
    <t xml:space="preserve">Nebela tubulosa type </t>
  </si>
  <si>
    <t>Pseudodifflugia fascicularis</t>
  </si>
  <si>
    <t xml:space="preserve">Pseudodifflugia fulva type </t>
  </si>
  <si>
    <t>Sphenoderia lenta</t>
  </si>
  <si>
    <t xml:space="preserve">Trigonopyxis arcula type </t>
  </si>
  <si>
    <t>Total</t>
  </si>
  <si>
    <t>total</t>
  </si>
  <si>
    <t>Processing record</t>
  </si>
  <si>
    <t>Raw count dataset</t>
  </si>
  <si>
    <t>Make Amesbury Group sheet</t>
  </si>
  <si>
    <t>Copy table 2 from Amesbury</t>
  </si>
  <si>
    <t>Use a find inside brackets function to list codes beside each taxa</t>
  </si>
  <si>
    <t>Copy paste values for codes into a second column and add missing values</t>
  </si>
  <si>
    <t>Copy a clean taxa and codes list into new columns</t>
  </si>
  <si>
    <t>Order clean taxa and codes list by Figure 2 wet to dry (manual work)</t>
  </si>
  <si>
    <t>Copy raw taxa names to Amesbury groups sheet</t>
  </si>
  <si>
    <t>Using a x lookups add the wetness order to the raw taxa names</t>
  </si>
  <si>
    <t>Make a new column of raw taxa names and check the names of any appearing as "not found" in the wetness numbers</t>
  </si>
  <si>
    <t>Edit names to make a new name list in same order as raw sheet with names matching Amesbury names</t>
  </si>
  <si>
    <t>Use a lookup on new names to add wetness order and Amesbury codes in new columns</t>
  </si>
  <si>
    <t>Copy the Amesbury codes used in the raw dataset into a new column - use data - remove duplicates to get a single list of Amesbury codes for the raw dataset</t>
  </si>
  <si>
    <t>Copy woodfield raw to a sheet called woodfield clean</t>
  </si>
  <si>
    <t>Add columns at front for the three fresh columns of adjusted names wetness order and code names - copy data from Amesbury sheet (paste values)</t>
  </si>
  <si>
    <t>Copy Woodfield clean into Woodfield clean (ordered)</t>
  </si>
  <si>
    <t>Select data array and order by the wetness score</t>
  </si>
  <si>
    <t>Copy taxa names into clean (Ordered) sheet below raw data</t>
  </si>
  <si>
    <t>Make percentages</t>
  </si>
  <si>
    <t>Copy paste values percentages into new sheet</t>
  </si>
  <si>
    <t>Make a Woodfield clean grouped sheet - Copy the raw data into that sheet</t>
  </si>
  <si>
    <t>Copy the removed duplicates code names from point 12 and add below the raw data in clean grouped sheet</t>
  </si>
  <si>
    <t>Use a sumif function to sum the raw data from each group inot the new array</t>
  </si>
  <si>
    <t>Make percentages of grouped data</t>
  </si>
  <si>
    <t>Once transposed percentage data by taxa should now be ready for running in Rioja to make a pollen diagram</t>
  </si>
  <si>
    <t>Once transposed percentage data by group should now be ready for running in Amesbury transfer function</t>
  </si>
  <si>
    <t>Copied from Amesbury Table 2</t>
  </si>
  <si>
    <t>Find code value in bracket</t>
  </si>
  <si>
    <t>Copied from B in order of B</t>
  </si>
  <si>
    <t>Copied and infilled from C</t>
  </si>
  <si>
    <t>written in from manual lookup of Amesbury Figure 2</t>
  </si>
  <si>
    <t>from D and E ordered alphabetical</t>
  </si>
  <si>
    <t>Using an x lookup Not found means that the names need attention</t>
  </si>
  <si>
    <t>Corrected Names</t>
  </si>
  <si>
    <t>Using an x lookup Not found means that there is no equivalent</t>
  </si>
  <si>
    <t>New taxon name</t>
  </si>
  <si>
    <t>Includes</t>
  </si>
  <si>
    <t>Extract code</t>
  </si>
  <si>
    <t xml:space="preserve">Amesbury Species </t>
  </si>
  <si>
    <t>Amesbury Group Code</t>
  </si>
  <si>
    <t xml:space="preserve">Wet (1) to dry (52) </t>
  </si>
  <si>
    <t>Amesbury Group</t>
  </si>
  <si>
    <t>Amesbury code</t>
  </si>
  <si>
    <t>Duplicates removed</t>
  </si>
  <si>
    <r>
      <t>Amphitrema wrightianum</t>
    </r>
    <r>
      <rPr>
        <sz val="11"/>
        <color rgb="FF1F1F1F"/>
        <rFont val="Georgia"/>
        <family val="1"/>
      </rPr>
      <t> type</t>
    </r>
  </si>
  <si>
    <t>ARC WRI</t>
  </si>
  <si>
    <t>ASS MUS</t>
  </si>
  <si>
    <t>(ARC WRI)</t>
  </si>
  <si>
    <t>ARC FLA</t>
  </si>
  <si>
    <r>
      <t>Arcella arenaria</t>
    </r>
    <r>
      <rPr>
        <sz val="11"/>
        <color rgb="FF1F1F1F"/>
        <rFont val="Georgia"/>
        <family val="1"/>
      </rPr>
      <t> type</t>
    </r>
  </si>
  <si>
    <t>Arcella artocrea</t>
  </si>
  <si>
    <t>ARC ARE</t>
  </si>
  <si>
    <t>Arcella arenaria</t>
  </si>
  <si>
    <t>ASS SEM</t>
  </si>
  <si>
    <t>(ARC ARE)</t>
  </si>
  <si>
    <r>
      <t>Arcella catinus</t>
    </r>
    <r>
      <rPr>
        <sz val="11"/>
        <color rgb="FF1F1F1F"/>
        <rFont val="Georgia"/>
        <family val="1"/>
      </rPr>
      <t> type</t>
    </r>
  </si>
  <si>
    <t>Arcella catinus type</t>
  </si>
  <si>
    <t>Arcella bathystoma</t>
  </si>
  <si>
    <t>ARC GIB</t>
  </si>
  <si>
    <t>ARC DIS</t>
  </si>
  <si>
    <t>Arcella polypora</t>
  </si>
  <si>
    <r>
      <t>Arcella discoides</t>
    </r>
    <r>
      <rPr>
        <sz val="11"/>
        <color rgb="FF1F1F1F"/>
        <rFont val="Georgia"/>
        <family val="1"/>
      </rPr>
      <t> type</t>
    </r>
  </si>
  <si>
    <r>
      <t xml:space="preserve">Arcella discoides </t>
    </r>
    <r>
      <rPr>
        <sz val="11"/>
        <color rgb="FF1F1F1F"/>
        <rFont val="Georgia"/>
        <family val="1"/>
      </rPr>
      <t>type</t>
    </r>
  </si>
  <si>
    <t>Arcella discoides type</t>
  </si>
  <si>
    <t>Arcella conica</t>
  </si>
  <si>
    <t>ARC MIT</t>
  </si>
  <si>
    <t>(ARC DIS)</t>
  </si>
  <si>
    <t>Arcella megastoma</t>
  </si>
  <si>
    <t>Arcella costata</t>
  </si>
  <si>
    <t xml:space="preserve">Longinebela </t>
  </si>
  <si>
    <t>NEB MIL</t>
  </si>
  <si>
    <r>
      <t>Arcella gibbosa</t>
    </r>
    <r>
      <rPr>
        <sz val="11"/>
        <color rgb="FF1F1F1F"/>
        <rFont val="Georgia"/>
        <family val="1"/>
      </rPr>
      <t> type</t>
    </r>
  </si>
  <si>
    <t>Arcella crenulata</t>
  </si>
  <si>
    <t>ARC VUL</t>
  </si>
  <si>
    <t>CEN ACU</t>
  </si>
  <si>
    <t>(ARC GIB)</t>
  </si>
  <si>
    <t>Arcella dentata </t>
  </si>
  <si>
    <t>ARC DEN</t>
  </si>
  <si>
    <t>Centropyxis aerophila</t>
  </si>
  <si>
    <t>CEN AER</t>
  </si>
  <si>
    <r>
      <t>Centropyxis cassis</t>
    </r>
    <r>
      <rPr>
        <sz val="11"/>
        <color rgb="FF1F1F1F"/>
        <rFont val="Georgia"/>
        <family val="1"/>
      </rPr>
      <t> type</t>
    </r>
  </si>
  <si>
    <t>Arcella gibbosa type</t>
  </si>
  <si>
    <t>COR TRI</t>
  </si>
  <si>
    <t>Arcella intermedia</t>
  </si>
  <si>
    <t>Arcella hemisphaerica</t>
  </si>
  <si>
    <t>ARC HEM</t>
  </si>
  <si>
    <t>HEL PET</t>
  </si>
  <si>
    <r>
      <t>Arcella hemisphaerica</t>
    </r>
    <r>
      <rPr>
        <sz val="11"/>
        <color rgb="FF1F1F1F"/>
        <rFont val="Georgia"/>
        <family val="1"/>
      </rPr>
      <t> type</t>
    </r>
  </si>
  <si>
    <t>HEL SYL</t>
  </si>
  <si>
    <t>(ARC HEM)</t>
  </si>
  <si>
    <t>Arcella rotundata</t>
  </si>
  <si>
    <t>HYA SUB</t>
  </si>
  <si>
    <r>
      <t>Arcella vulgaris</t>
    </r>
    <r>
      <rPr>
        <sz val="11"/>
        <color rgb="FF1F1F1F"/>
        <rFont val="Georgia"/>
        <family val="1"/>
      </rPr>
      <t> type</t>
    </r>
  </si>
  <si>
    <t>Arcella mitrata </t>
  </si>
  <si>
    <t>NEB COL</t>
  </si>
  <si>
    <t>(ARC VUL)</t>
  </si>
  <si>
    <t>Arcella vulgaris type</t>
  </si>
  <si>
    <t>HYA PAP</t>
  </si>
  <si>
    <r>
      <t>Argynnia dentistoma</t>
    </r>
    <r>
      <rPr>
        <sz val="11"/>
        <color rgb="FF1F1F1F"/>
        <rFont val="Georgia"/>
        <family val="1"/>
      </rPr>
      <t> type</t>
    </r>
  </si>
  <si>
    <t>Nebela dentistoma</t>
  </si>
  <si>
    <t>ARG DEN</t>
  </si>
  <si>
    <t>HEL ELE</t>
  </si>
  <si>
    <t>(ARG DEN)</t>
  </si>
  <si>
    <r>
      <t>Nebela vitraea</t>
    </r>
    <r>
      <rPr>
        <sz val="11"/>
        <color rgb="FF1F1F1F"/>
        <rFont val="Georgia"/>
        <family val="1"/>
      </rPr>
      <t> type</t>
    </r>
  </si>
  <si>
    <t>Nebela vitraea type</t>
  </si>
  <si>
    <t>CYC ARC</t>
  </si>
  <si>
    <r>
      <t>Assulina muscorum</t>
    </r>
    <r>
      <rPr>
        <sz val="11"/>
        <color rgb="FF1F1F1F"/>
        <rFont val="Georgia"/>
        <family val="1"/>
      </rPr>
      <t> type</t>
    </r>
  </si>
  <si>
    <t>Archerella flavum </t>
  </si>
  <si>
    <t>DIF OBL</t>
  </si>
  <si>
    <t>(ASS MUS)</t>
  </si>
  <si>
    <t>Assulina minuta</t>
  </si>
  <si>
    <t>DIF LUC</t>
  </si>
  <si>
    <t>Valkanovia elegans</t>
  </si>
  <si>
    <t>CRY SAC</t>
  </si>
  <si>
    <r>
      <t>Assulina seminulum</t>
    </r>
    <r>
      <rPr>
        <sz val="11"/>
        <color rgb="FF1F1F1F"/>
        <rFont val="Georgia"/>
        <family val="1"/>
      </rPr>
      <t> type</t>
    </r>
  </si>
  <si>
    <t>Assulina scandinavica</t>
  </si>
  <si>
    <t>Difflugia rubescens</t>
  </si>
  <si>
    <t>(ASS SEM)</t>
  </si>
  <si>
    <t>Nebela flabellulum </t>
  </si>
  <si>
    <t>NEB FLA</t>
  </si>
  <si>
    <r>
      <t>Centropyxis aculeata</t>
    </r>
    <r>
      <rPr>
        <sz val="11"/>
        <color rgb="FF1F1F1F"/>
        <rFont val="Georgia"/>
        <family val="1"/>
      </rPr>
      <t> type</t>
    </r>
  </si>
  <si>
    <t>Centropyxis aculeata type</t>
  </si>
  <si>
    <t>Awerintzewia cyclostoma</t>
  </si>
  <si>
    <t>(CEN ACU)</t>
  </si>
  <si>
    <r>
      <t>Centropyxis aculeata</t>
    </r>
    <r>
      <rPr>
        <sz val="11"/>
        <color rgb="FF1F1F1F"/>
        <rFont val="Georgia"/>
        <family val="1"/>
      </rPr>
      <t> var. </t>
    </r>
    <r>
      <rPr>
        <i/>
        <sz val="11"/>
        <color rgb="FF1F1F1F"/>
        <rFont val="Georgia"/>
        <family val="1"/>
      </rPr>
      <t>minor</t>
    </r>
  </si>
  <si>
    <t>Centropyxis aculeata var. minor</t>
  </si>
  <si>
    <t>Bullinularia indica </t>
  </si>
  <si>
    <t>BUL IND</t>
  </si>
  <si>
    <t>EUG ROT</t>
  </si>
  <si>
    <r>
      <t>Centropyxis aculeata</t>
    </r>
    <r>
      <rPr>
        <sz val="11"/>
        <color rgb="FF1F1F1F"/>
        <rFont val="Georgia"/>
        <family val="1"/>
      </rPr>
      <t> var. </t>
    </r>
    <r>
      <rPr>
        <i/>
        <sz val="11"/>
        <color rgb="FF1F1F1F"/>
        <rFont val="Georgia"/>
        <family val="1"/>
      </rPr>
      <t>oblonga</t>
    </r>
  </si>
  <si>
    <t>Centropyxis aculeata var. oblonga</t>
  </si>
  <si>
    <t>Campascus minutus </t>
  </si>
  <si>
    <t>CAM MIN</t>
  </si>
  <si>
    <t>TRI ARC</t>
  </si>
  <si>
    <r>
      <t>Centropyxis aculeata</t>
    </r>
    <r>
      <rPr>
        <sz val="11"/>
        <color rgb="FF1F1F1F"/>
        <rFont val="Georgia"/>
        <family val="1"/>
      </rPr>
      <t> var. </t>
    </r>
    <r>
      <rPr>
        <i/>
        <sz val="11"/>
        <color rgb="FF1F1F1F"/>
        <rFont val="Georgia"/>
        <family val="1"/>
      </rPr>
      <t>gibbosa</t>
    </r>
  </si>
  <si>
    <t>Centropyxis aculeata var. gibbosa</t>
  </si>
  <si>
    <t>Centropyxis gibba</t>
  </si>
  <si>
    <t>Centropyxis hirsuta</t>
  </si>
  <si>
    <t>Centropyxis spinosa</t>
  </si>
  <si>
    <r>
      <t>Centropyxis aerophila</t>
    </r>
    <r>
      <rPr>
        <sz val="11"/>
        <color rgb="FF1F1F1F"/>
        <rFont val="Georgia"/>
        <family val="1"/>
      </rPr>
      <t> type</t>
    </r>
  </si>
  <si>
    <t>Nebela tubulata</t>
  </si>
  <si>
    <t>PAD LAG</t>
  </si>
  <si>
    <t>(CEN AER)</t>
  </si>
  <si>
    <t>Centropyxis cassis type</t>
  </si>
  <si>
    <t>Centropyxis constricta</t>
  </si>
  <si>
    <t xml:space="preserve"> </t>
  </si>
  <si>
    <t>Centropyxis minuta</t>
  </si>
  <si>
    <t>Centropyxis ecornis type</t>
  </si>
  <si>
    <t>CEN ECO</t>
  </si>
  <si>
    <t>Centropyxis orbicularis</t>
  </si>
  <si>
    <t>Centropyxis ecornis var. quadripannosa</t>
  </si>
  <si>
    <r>
      <t>Centropyxis platystoma</t>
    </r>
    <r>
      <rPr>
        <sz val="11"/>
        <color rgb="FF1F1F1F"/>
        <rFont val="Georgia"/>
        <family val="1"/>
      </rPr>
      <t> type</t>
    </r>
  </si>
  <si>
    <t>Centropyxis platystoma type</t>
  </si>
  <si>
    <t>Centropyxis eurystoma</t>
  </si>
  <si>
    <t>Centropyxis sphagnicola</t>
  </si>
  <si>
    <t>Centropyxis sylvatica</t>
  </si>
  <si>
    <r>
      <t>Centropyxis ecornis</t>
    </r>
    <r>
      <rPr>
        <sz val="11"/>
        <color rgb="FF1F1F1F"/>
        <rFont val="Georgia"/>
        <family val="1"/>
      </rPr>
      <t> type</t>
    </r>
  </si>
  <si>
    <t>Centropyxis laevigata</t>
  </si>
  <si>
    <t>(CEN ECO)</t>
  </si>
  <si>
    <t>Centropyxis latior</t>
  </si>
  <si>
    <r>
      <t>Centropyxis ecornis</t>
    </r>
    <r>
      <rPr>
        <sz val="11"/>
        <color rgb="FF1F1F1F"/>
        <rFont val="Georgia"/>
        <family val="1"/>
      </rPr>
      <t> var. </t>
    </r>
    <r>
      <rPr>
        <i/>
        <sz val="11"/>
        <color rgb="FF1F1F1F"/>
        <rFont val="Georgia"/>
        <family val="1"/>
      </rPr>
      <t>quadripannosa</t>
    </r>
  </si>
  <si>
    <r>
      <t>Corythion-Trinema</t>
    </r>
    <r>
      <rPr>
        <sz val="11"/>
        <color rgb="FF1F1F1F"/>
        <rFont val="Georgia"/>
        <family val="1"/>
      </rPr>
      <t> type</t>
    </r>
  </si>
  <si>
    <t>(COR TRI)</t>
  </si>
  <si>
    <t>Corythion pulchellum</t>
  </si>
  <si>
    <r>
      <t>Corythion-trinema</t>
    </r>
    <r>
      <rPr>
        <sz val="11"/>
        <color rgb="FF1F1F1F"/>
        <rFont val="Georgia"/>
        <family val="1"/>
      </rPr>
      <t> type</t>
    </r>
  </si>
  <si>
    <t>Corythion-trinema type</t>
  </si>
  <si>
    <t>Trinema complanatum</t>
  </si>
  <si>
    <t>Trinema enchelys</t>
  </si>
  <si>
    <r>
      <t>Trinema lineare</t>
    </r>
    <r>
      <rPr>
        <sz val="11"/>
        <color rgb="FF1F1F1F"/>
        <rFont val="Georgia"/>
        <family val="1"/>
      </rPr>
      <t> type</t>
    </r>
  </si>
  <si>
    <t>Trinema lineare type</t>
  </si>
  <si>
    <t>Trinema penardi</t>
  </si>
  <si>
    <r>
      <t>Cryptodifflugia oviformis</t>
    </r>
    <r>
      <rPr>
        <sz val="11"/>
        <color rgb="FF1F1F1F"/>
        <rFont val="Georgia"/>
        <family val="1"/>
      </rPr>
      <t> type</t>
    </r>
  </si>
  <si>
    <t>Cryptodifflugia oviformis</t>
  </si>
  <si>
    <t>CRY OVI</t>
  </si>
  <si>
    <t>Crypodifflugia sacculus</t>
  </si>
  <si>
    <t>(CRY OVI)</t>
  </si>
  <si>
    <t>Cryptodifflugia compressa</t>
  </si>
  <si>
    <t>Difflugiella (Cryptodifflugia) apiculata</t>
  </si>
  <si>
    <t>Difflugiella (Cryptodifflugia) minuta</t>
  </si>
  <si>
    <t>Cyclopyxis arcelloides type</t>
  </si>
  <si>
    <t>Difflugiella (Cryptodifflugia) oviformis</t>
  </si>
  <si>
    <t>Cyclopyxis eurystoma</t>
  </si>
  <si>
    <r>
      <t>Crypotodifflugia sacculus</t>
    </r>
    <r>
      <rPr>
        <sz val="11"/>
        <color rgb="FF1F1F1F"/>
        <rFont val="Georgia"/>
        <family val="1"/>
      </rPr>
      <t> type</t>
    </r>
  </si>
  <si>
    <t>Cyclopyxis kahli</t>
  </si>
  <si>
    <t>(CRY SAC)</t>
  </si>
  <si>
    <t>Cyphoderia ampulla</t>
  </si>
  <si>
    <t>CYP AMP</t>
  </si>
  <si>
    <r>
      <t>Hyalosphenia minuta</t>
    </r>
    <r>
      <rPr>
        <sz val="11"/>
        <color rgb="FF1F1F1F"/>
        <rFont val="Georgia"/>
        <family val="1"/>
      </rPr>
      <t> type</t>
    </r>
  </si>
  <si>
    <t>Hyalosphenia minuta type</t>
  </si>
  <si>
    <t>Cyphoderia calceolus</t>
  </si>
  <si>
    <r>
      <t>Cyclopyxis arcelloides</t>
    </r>
    <r>
      <rPr>
        <sz val="11"/>
        <color rgb="FF1F1F1F"/>
        <rFont val="Georgia"/>
        <family val="1"/>
      </rPr>
      <t> type</t>
    </r>
  </si>
  <si>
    <t>Cyphoderia sp.</t>
  </si>
  <si>
    <t>(CYC ARC)</t>
  </si>
  <si>
    <t>Difflguia glans</t>
  </si>
  <si>
    <t>Difflugia acuminata type</t>
  </si>
  <si>
    <t>DIF ACU</t>
  </si>
  <si>
    <t>Difflugia amphora</t>
  </si>
  <si>
    <t>DIF LAB</t>
  </si>
  <si>
    <r>
      <t>Difflugia globulosa</t>
    </r>
    <r>
      <rPr>
        <sz val="11"/>
        <color rgb="FF1F1F1F"/>
        <rFont val="Georgia"/>
        <family val="1"/>
      </rPr>
      <t> type</t>
    </r>
  </si>
  <si>
    <t>Difflugia globulosa type</t>
  </si>
  <si>
    <t>Difflugia avellana</t>
  </si>
  <si>
    <t>Difflugia microstoma</t>
  </si>
  <si>
    <t>Difflugia bacilliarium type</t>
  </si>
  <si>
    <t>Phryganella acropodia</t>
  </si>
  <si>
    <t>Difflugia bacillifera type</t>
  </si>
  <si>
    <t>Phryganella hemispherica</t>
  </si>
  <si>
    <t>Difflugia brevicolla</t>
  </si>
  <si>
    <t>DIF GRA</t>
  </si>
  <si>
    <t>Phryganella nidulus</t>
  </si>
  <si>
    <t>Difflugia elegans</t>
  </si>
  <si>
    <t>Phryganella paradoxa</t>
  </si>
  <si>
    <t>Difflugia gassowski/longicollis</t>
  </si>
  <si>
    <r>
      <t>Cyphoderia ampulla</t>
    </r>
    <r>
      <rPr>
        <sz val="11"/>
        <color rgb="FF1F1F1F"/>
        <rFont val="Georgia"/>
        <family val="1"/>
      </rPr>
      <t> type</t>
    </r>
  </si>
  <si>
    <t>(CYP AMP)</t>
  </si>
  <si>
    <t>Difflugia gramen</t>
  </si>
  <si>
    <r>
      <t>Cyphoderia</t>
    </r>
    <r>
      <rPr>
        <sz val="11"/>
        <color rgb="FF1F1F1F"/>
        <rFont val="Georgia"/>
        <family val="1"/>
      </rPr>
      <t> sp.</t>
    </r>
  </si>
  <si>
    <t>Difflugia lacustris</t>
  </si>
  <si>
    <r>
      <t>Difflugia acuminata</t>
    </r>
    <r>
      <rPr>
        <sz val="11"/>
        <color rgb="FF1F1F1F"/>
        <rFont val="Georgia"/>
        <family val="1"/>
      </rPr>
      <t> type</t>
    </r>
  </si>
  <si>
    <t>(DIF ACU)</t>
  </si>
  <si>
    <r>
      <t>Difflugia bacilliarium</t>
    </r>
    <r>
      <rPr>
        <sz val="11"/>
        <color rgb="FF1F1F1F"/>
        <rFont val="Georgia"/>
        <family val="1"/>
      </rPr>
      <t> type</t>
    </r>
  </si>
  <si>
    <t>Difflugia leidyi </t>
  </si>
  <si>
    <t>DIF LEI</t>
  </si>
  <si>
    <t>Difflugia lithophila</t>
  </si>
  <si>
    <r>
      <t>Difflugia gramen</t>
    </r>
    <r>
      <rPr>
        <sz val="11"/>
        <color rgb="FF1F1F1F"/>
        <rFont val="Georgia"/>
        <family val="1"/>
      </rPr>
      <t> type</t>
    </r>
  </si>
  <si>
    <t>Difflugia lucida type</t>
  </si>
  <si>
    <t>(DIF GRA)</t>
  </si>
  <si>
    <t>Difflugia mica</t>
  </si>
  <si>
    <r>
      <t>Difflugia labiosa</t>
    </r>
    <r>
      <rPr>
        <sz val="11"/>
        <color rgb="FF1F1F1F"/>
        <rFont val="Georgia"/>
        <family val="1"/>
      </rPr>
      <t> type</t>
    </r>
  </si>
  <si>
    <t>(DIF LAB)</t>
  </si>
  <si>
    <t>Difflugia oviformis/labiosa</t>
  </si>
  <si>
    <t>Difflugia oblonga type</t>
  </si>
  <si>
    <t>Netzelia tuberculata</t>
  </si>
  <si>
    <r>
      <t>Difflugia lucida</t>
    </r>
    <r>
      <rPr>
        <sz val="11"/>
        <color rgb="FF1F1F1F"/>
        <rFont val="Georgia"/>
        <family val="1"/>
      </rPr>
      <t> type</t>
    </r>
  </si>
  <si>
    <t>Difflugia parva</t>
  </si>
  <si>
    <t>(DIF LUC)</t>
  </si>
  <si>
    <t>Difflugia paulii</t>
  </si>
  <si>
    <t>Difflugia penardi</t>
  </si>
  <si>
    <t>Difflugia pristis type</t>
  </si>
  <si>
    <t>Difflugia pyriformis</t>
  </si>
  <si>
    <r>
      <t>Difflugia pristis</t>
    </r>
    <r>
      <rPr>
        <sz val="11"/>
        <color rgb="FF1F1F1F"/>
        <rFont val="Georgia"/>
        <family val="1"/>
      </rPr>
      <t> type</t>
    </r>
  </si>
  <si>
    <t>Difflugia viscidula</t>
  </si>
  <si>
    <t xml:space="preserve">Difflugia urceolata type </t>
  </si>
  <si>
    <t>DIF URC</t>
  </si>
  <si>
    <r>
      <t>Pseudodifflugia fulva</t>
    </r>
    <r>
      <rPr>
        <sz val="11"/>
        <color rgb="FF1F1F1F"/>
        <rFont val="Georgia"/>
        <family val="1"/>
      </rPr>
      <t> type</t>
    </r>
  </si>
  <si>
    <t>Pseudodifflugia fulva type</t>
  </si>
  <si>
    <r>
      <t>Difflugia oblonga</t>
    </r>
    <r>
      <rPr>
        <sz val="11"/>
        <color rgb="FF1F1F1F"/>
        <rFont val="Georgia"/>
        <family val="1"/>
      </rPr>
      <t> type</t>
    </r>
  </si>
  <si>
    <r>
      <t>Difflugia bacillifera</t>
    </r>
    <r>
      <rPr>
        <sz val="11"/>
        <color rgb="FF1F1F1F"/>
        <rFont val="Georgia"/>
        <family val="1"/>
      </rPr>
      <t> type</t>
    </r>
  </si>
  <si>
    <t>(DIF OBL)</t>
  </si>
  <si>
    <t>Euglypha acanthophora</t>
  </si>
  <si>
    <t>EUG CIL</t>
  </si>
  <si>
    <t>Euglypha alveolata</t>
  </si>
  <si>
    <t>Difflugia oblonga type</t>
  </si>
  <si>
    <t>Euglypha anadonta</t>
  </si>
  <si>
    <t>Euglypha ciliata</t>
  </si>
  <si>
    <t>Euglypha ciliata var. glabra</t>
  </si>
  <si>
    <t>Euglypha ciliata/compressa</t>
  </si>
  <si>
    <t>Euglypha compressa type</t>
  </si>
  <si>
    <r>
      <t>Euglypha ciliata</t>
    </r>
    <r>
      <rPr>
        <sz val="11"/>
        <color rgb="FF1F1F1F"/>
        <rFont val="Georgia"/>
        <family val="1"/>
      </rPr>
      <t> type</t>
    </r>
  </si>
  <si>
    <t>Euglypha cristata</t>
  </si>
  <si>
    <t>(EUG CIL)</t>
  </si>
  <si>
    <t>Euglypha cuspidata</t>
  </si>
  <si>
    <r>
      <t>Euglypha ciliata</t>
    </r>
    <r>
      <rPr>
        <sz val="11"/>
        <color rgb="FF1F1F1F"/>
        <rFont val="Georgia"/>
        <family val="1"/>
      </rPr>
      <t> var. </t>
    </r>
    <r>
      <rPr>
        <i/>
        <sz val="11"/>
        <color rgb="FF1F1F1F"/>
        <rFont val="Georgia"/>
        <family val="1"/>
      </rPr>
      <t>glabra</t>
    </r>
  </si>
  <si>
    <t>Euglypha denticulata</t>
  </si>
  <si>
    <t>Euglypha dolioformis</t>
  </si>
  <si>
    <r>
      <t>Euglypha compressa</t>
    </r>
    <r>
      <rPr>
        <sz val="11"/>
        <color rgb="FF1F1F1F"/>
        <rFont val="Georgia"/>
        <family val="1"/>
      </rPr>
      <t> type</t>
    </r>
  </si>
  <si>
    <t>Euglypha filifera</t>
  </si>
  <si>
    <t>Euglypha hyalina</t>
  </si>
  <si>
    <t>Euglypha laevis</t>
  </si>
  <si>
    <t>Euglypha rotunda type</t>
  </si>
  <si>
    <t>Euglypha scutigera</t>
  </si>
  <si>
    <r>
      <t>Euglypha strigosa</t>
    </r>
    <r>
      <rPr>
        <sz val="11"/>
        <color rgb="FF1F1F1F"/>
        <rFont val="Georgia"/>
        <family val="1"/>
      </rPr>
      <t> type</t>
    </r>
  </si>
  <si>
    <t>Euglypha strigosa type</t>
  </si>
  <si>
    <t>Euglypha simplex</t>
  </si>
  <si>
    <r>
      <t>Euglypha tuberculata</t>
    </r>
    <r>
      <rPr>
        <sz val="11"/>
        <color rgb="FF1F1F1F"/>
        <rFont val="Georgia"/>
        <family val="1"/>
      </rPr>
      <t> type</t>
    </r>
  </si>
  <si>
    <t>Euglypha tuberculata type</t>
  </si>
  <si>
    <r>
      <t>Euglypha rotunda</t>
    </r>
    <r>
      <rPr>
        <sz val="11"/>
        <color rgb="FF1F1F1F"/>
        <rFont val="Georgia"/>
        <family val="1"/>
      </rPr>
      <t> type</t>
    </r>
  </si>
  <si>
    <t>(EUG ROT)</t>
  </si>
  <si>
    <t>Gibbocarina (Nebela) galeata</t>
  </si>
  <si>
    <t>PLA CAR</t>
  </si>
  <si>
    <t>Gibbocarina (Nebela) gracilis</t>
  </si>
  <si>
    <t>GIB PEN</t>
  </si>
  <si>
    <t>Gibbocarina (Nebela) maxima</t>
  </si>
  <si>
    <t>Gibbocarina (Nebela) penardiana type</t>
  </si>
  <si>
    <t>Gibbocarina (Nebela) tubulosa type</t>
  </si>
  <si>
    <t>Heleopera petricola</t>
  </si>
  <si>
    <t>Heleopera petricola var amethystea</t>
  </si>
  <si>
    <r>
      <t>Heleopera petricola</t>
    </r>
    <r>
      <rPr>
        <sz val="11"/>
        <color rgb="FF1F1F1F"/>
        <rFont val="Georgia"/>
        <family val="1"/>
      </rPr>
      <t> type</t>
    </r>
  </si>
  <si>
    <t>Heleopera picta</t>
  </si>
  <si>
    <t>(HEL PET)</t>
  </si>
  <si>
    <t>Heleopera rosea </t>
  </si>
  <si>
    <t>HEL ROS</t>
  </si>
  <si>
    <r>
      <t>Heleopera petricola</t>
    </r>
    <r>
      <rPr>
        <sz val="11"/>
        <color rgb="FF1F1F1F"/>
        <rFont val="Georgia"/>
        <family val="1"/>
      </rPr>
      <t> var </t>
    </r>
    <r>
      <rPr>
        <i/>
        <sz val="11"/>
        <color rgb="FF1F1F1F"/>
        <rFont val="Georgia"/>
        <family val="1"/>
      </rPr>
      <t>amethystea</t>
    </r>
  </si>
  <si>
    <t>Heleopera sylvatica </t>
  </si>
  <si>
    <t>Hyalosphenia elegans </t>
  </si>
  <si>
    <r>
      <t>Lesqueresia spiralis</t>
    </r>
    <r>
      <rPr>
        <sz val="11"/>
        <color rgb="FF1F1F1F"/>
        <rFont val="Georgia"/>
        <family val="1"/>
      </rPr>
      <t> type</t>
    </r>
  </si>
  <si>
    <r>
      <t>Lesquereusia modesta</t>
    </r>
    <r>
      <rPr>
        <sz val="11"/>
        <color rgb="FF1F1F1F"/>
        <rFont val="Georgia"/>
        <family val="1"/>
      </rPr>
      <t> type</t>
    </r>
  </si>
  <si>
    <t>Lesquereusia modesta type</t>
  </si>
  <si>
    <t>LES SPI</t>
  </si>
  <si>
    <t>(LES SPI)</t>
  </si>
  <si>
    <r>
      <t>Lesquereusia spiralis</t>
    </r>
    <r>
      <rPr>
        <sz val="11"/>
        <color rgb="FF1F1F1F"/>
        <rFont val="Georgia"/>
        <family val="1"/>
      </rPr>
      <t> type</t>
    </r>
  </si>
  <si>
    <t>Lesquereusia spiralis type</t>
  </si>
  <si>
    <r>
      <t>Planocarina (Nebela) carinata</t>
    </r>
    <r>
      <rPr>
        <sz val="11"/>
        <color rgb="FF1F1F1F"/>
        <rFont val="Georgia"/>
        <family val="1"/>
      </rPr>
      <t> type</t>
    </r>
  </si>
  <si>
    <t>Planocarina (Nebela) carinata</t>
  </si>
  <si>
    <t>Hyalosphenia papilio </t>
  </si>
  <si>
    <t>(PLA CAR)</t>
  </si>
  <si>
    <t>Lagenodifflugia vas </t>
  </si>
  <si>
    <t>LAG VAS</t>
  </si>
  <si>
    <t>Planocarina (Nebela) marginata</t>
  </si>
  <si>
    <t>Lesquereusia epistomum </t>
  </si>
  <si>
    <t>LES EPI</t>
  </si>
  <si>
    <r>
      <t>Nebela collaris</t>
    </r>
    <r>
      <rPr>
        <sz val="11"/>
        <color rgb="FF1F1F1F"/>
        <rFont val="Georgia"/>
        <family val="1"/>
      </rPr>
      <t> type</t>
    </r>
  </si>
  <si>
    <t>Nebela collaris type</t>
  </si>
  <si>
    <t>(NEB COL)</t>
  </si>
  <si>
    <r>
      <t>Nebela tincta</t>
    </r>
    <r>
      <rPr>
        <sz val="11"/>
        <color rgb="FF1F1F1F"/>
        <rFont val="Georgia"/>
        <family val="1"/>
      </rPr>
      <t> var. </t>
    </r>
    <r>
      <rPr>
        <i/>
        <sz val="11"/>
        <color rgb="FF1F1F1F"/>
        <rFont val="Georgia"/>
        <family val="1"/>
      </rPr>
      <t>major</t>
    </r>
  </si>
  <si>
    <t>Nebela tincta var. major</t>
  </si>
  <si>
    <t>Longinebela militaris type</t>
  </si>
  <si>
    <r>
      <t>Gibbocarina (Nebela) penardiana</t>
    </r>
    <r>
      <rPr>
        <sz val="11"/>
        <color rgb="FF1F1F1F"/>
        <rFont val="Georgia"/>
        <family val="1"/>
      </rPr>
      <t> type</t>
    </r>
  </si>
  <si>
    <t>Microclamys patella </t>
  </si>
  <si>
    <t>MIC PAT</t>
  </si>
  <si>
    <t>(GIB PEN)</t>
  </si>
  <si>
    <t>Nebela bohemica type</t>
  </si>
  <si>
    <t>NEB TIN</t>
  </si>
  <si>
    <r>
      <t>Gibbocarina (Nebela) tubulosa</t>
    </r>
    <r>
      <rPr>
        <sz val="11"/>
        <color rgb="FF1F1F1F"/>
        <rFont val="Georgia"/>
        <family val="1"/>
      </rPr>
      <t> type</t>
    </r>
  </si>
  <si>
    <r>
      <t>Nebela tincta</t>
    </r>
    <r>
      <rPr>
        <sz val="11"/>
        <color rgb="FF1F1F1F"/>
        <rFont val="Georgia"/>
        <family val="1"/>
      </rPr>
      <t> type</t>
    </r>
  </si>
  <si>
    <t>(NEB TIN)</t>
  </si>
  <si>
    <t>Nebela parvula</t>
  </si>
  <si>
    <r>
      <t>Nebela bohemica</t>
    </r>
    <r>
      <rPr>
        <sz val="11"/>
        <color rgb="FF1F1F1F"/>
        <rFont val="Georgia"/>
        <family val="1"/>
      </rPr>
      <t> type</t>
    </r>
  </si>
  <si>
    <t>Nebela griseola type</t>
  </si>
  <si>
    <t>PHY GRI</t>
  </si>
  <si>
    <r>
      <t>Padaungiella lageniformis</t>
    </r>
    <r>
      <rPr>
        <sz val="11"/>
        <color rgb="FF1F1F1F"/>
        <rFont val="Georgia"/>
        <family val="1"/>
      </rPr>
      <t> type</t>
    </r>
  </si>
  <si>
    <t>Nebela lageniformis</t>
  </si>
  <si>
    <t>(PAD LAG)</t>
  </si>
  <si>
    <r>
      <t>Nebela wailesi</t>
    </r>
    <r>
      <rPr>
        <sz val="11"/>
        <color rgb="FF1F1F1F"/>
        <rFont val="Georgia"/>
        <family val="1"/>
      </rPr>
      <t> type</t>
    </r>
  </si>
  <si>
    <t>Nebela wailesi type</t>
  </si>
  <si>
    <t xml:space="preserve">Nebela minor type </t>
  </si>
  <si>
    <t>NEB MIN</t>
  </si>
  <si>
    <r>
      <t>Physochila griseola</t>
    </r>
    <r>
      <rPr>
        <sz val="11"/>
        <color rgb="FF1F1F1F"/>
        <rFont val="Georgia"/>
        <family val="1"/>
      </rPr>
      <t> type</t>
    </r>
  </si>
  <si>
    <r>
      <t>Nebela griseola</t>
    </r>
    <r>
      <rPr>
        <sz val="11"/>
        <color rgb="FF1F1F1F"/>
        <rFont val="Georgia"/>
        <family val="1"/>
      </rPr>
      <t> type</t>
    </r>
  </si>
  <si>
    <t>Nebela tenella</t>
  </si>
  <si>
    <t>(PHY GRI)</t>
  </si>
  <si>
    <r>
      <t>Placocista spinosa</t>
    </r>
    <r>
      <rPr>
        <sz val="11"/>
        <color rgb="FF1F1F1F"/>
        <rFont val="Georgia"/>
        <family val="1"/>
      </rPr>
      <t> type</t>
    </r>
  </si>
  <si>
    <t>Placocista spinosa type</t>
  </si>
  <si>
    <t>PLA SPI</t>
  </si>
  <si>
    <t>(PLA SPI)</t>
  </si>
  <si>
    <t>Placocista lens</t>
  </si>
  <si>
    <t>Placocista gracilis</t>
  </si>
  <si>
    <t>Placocista jurassica</t>
  </si>
  <si>
    <r>
      <t>Placocista</t>
    </r>
    <r>
      <rPr>
        <sz val="11"/>
        <color rgb="FF1F1F1F"/>
        <rFont val="Georgia"/>
        <family val="1"/>
      </rPr>
      <t> sp.</t>
    </r>
  </si>
  <si>
    <t>Placocista sp.</t>
  </si>
  <si>
    <r>
      <t>Plagiopyxis</t>
    </r>
    <r>
      <rPr>
        <sz val="11"/>
        <color rgb="FF1F1F1F"/>
        <rFont val="Georgia"/>
        <family val="1"/>
      </rPr>
      <t> type</t>
    </r>
  </si>
  <si>
    <t>Plagiopyxis callida</t>
  </si>
  <si>
    <t>PLAGIO</t>
  </si>
  <si>
    <t>Paraquadrula irregularis </t>
  </si>
  <si>
    <t>PAR IRR</t>
  </si>
  <si>
    <t>(PLAGIO)</t>
  </si>
  <si>
    <t>Plagiopyxis declivis</t>
  </si>
  <si>
    <r>
      <t>Pyxidicula operculata</t>
    </r>
    <r>
      <rPr>
        <sz val="11"/>
        <color rgb="FF1F1F1F"/>
        <rFont val="Georgia"/>
        <family val="1"/>
      </rPr>
      <t> type</t>
    </r>
  </si>
  <si>
    <t>Pyxidicula declivis</t>
  </si>
  <si>
    <t>PYX OPE</t>
  </si>
  <si>
    <t>(PYX OPE)</t>
  </si>
  <si>
    <t>Pyxidicula operculata</t>
  </si>
  <si>
    <r>
      <t>Sphenoderia</t>
    </r>
    <r>
      <rPr>
        <sz val="11"/>
        <color rgb="FF1F1F1F"/>
        <rFont val="Georgia"/>
        <family val="1"/>
      </rPr>
      <t> type</t>
    </r>
  </si>
  <si>
    <t>Sphenoderia fissirostris</t>
  </si>
  <si>
    <t>SPHENO</t>
  </si>
  <si>
    <t>(SPHENO)</t>
  </si>
  <si>
    <t>Sphenoderia lenta/fissirostris</t>
  </si>
  <si>
    <r>
      <t>Tracheleuglypha dentata</t>
    </r>
    <r>
      <rPr>
        <sz val="11"/>
        <color rgb="FF1F1F1F"/>
        <rFont val="Georgia"/>
        <family val="1"/>
      </rPr>
      <t> type</t>
    </r>
  </si>
  <si>
    <t>Tracheleuglypha dentata</t>
  </si>
  <si>
    <t>TRA DEN</t>
  </si>
  <si>
    <t>(TRA DEN)</t>
  </si>
  <si>
    <t>Tracheleuglypha acolla</t>
  </si>
  <si>
    <r>
      <t>Trigonopyxis arcula</t>
    </r>
    <r>
      <rPr>
        <sz val="11"/>
        <color rgb="FF1F1F1F"/>
        <rFont val="Georgia"/>
        <family val="1"/>
      </rPr>
      <t> type</t>
    </r>
  </si>
  <si>
    <t>Trigonopyxis arcula type</t>
  </si>
  <si>
    <t>(TRI ARC)</t>
  </si>
  <si>
    <r>
      <t>Trigonopyxis minuta</t>
    </r>
    <r>
      <rPr>
        <sz val="11"/>
        <color rgb="FF1F1F1F"/>
        <rFont val="Georgia"/>
        <family val="1"/>
      </rPr>
      <t> type</t>
    </r>
  </si>
  <si>
    <t>Trigonopyxis minuta type</t>
  </si>
  <si>
    <r>
      <t>Trigonopyxis</t>
    </r>
    <r>
      <rPr>
        <sz val="11"/>
        <color rgb="FF1F1F1F"/>
        <rFont val="Georgia"/>
        <family val="1"/>
      </rPr>
      <t> sp.</t>
    </r>
  </si>
  <si>
    <t>Trigonopyxis sp.</t>
  </si>
  <si>
    <r>
      <t>Arcella dentata</t>
    </r>
    <r>
      <rPr>
        <sz val="11"/>
        <color rgb="FF1F1F1F"/>
        <rFont val="Georgia"/>
        <family val="1"/>
      </rPr>
      <t> (ARC DEN)</t>
    </r>
  </si>
  <si>
    <r>
      <t>Arcella mitrata</t>
    </r>
    <r>
      <rPr>
        <sz val="11"/>
        <color rgb="FF1F1F1F"/>
        <rFont val="Georgia"/>
        <family val="1"/>
      </rPr>
      <t> (ARC MIT)</t>
    </r>
  </si>
  <si>
    <r>
      <t>Archerella flavum</t>
    </r>
    <r>
      <rPr>
        <sz val="11"/>
        <color rgb="FF1F1F1F"/>
        <rFont val="Georgia"/>
        <family val="1"/>
      </rPr>
      <t> (ARC FLA)</t>
    </r>
  </si>
  <si>
    <t>Pontigulasia elisa </t>
  </si>
  <si>
    <t>PON ELI</t>
  </si>
  <si>
    <r>
      <t>Bullinularia indica</t>
    </r>
    <r>
      <rPr>
        <sz val="11"/>
        <color rgb="FF1F1F1F"/>
        <rFont val="Georgia"/>
        <family val="1"/>
      </rPr>
      <t> (BUL IND)</t>
    </r>
  </si>
  <si>
    <r>
      <t>Campascus minutus</t>
    </r>
    <r>
      <rPr>
        <sz val="11"/>
        <color rgb="FF1F1F1F"/>
        <rFont val="Georgia"/>
        <family val="1"/>
      </rPr>
      <t> (CAM MIN)</t>
    </r>
  </si>
  <si>
    <r>
      <t>Difflugia leidyi</t>
    </r>
    <r>
      <rPr>
        <sz val="11"/>
        <color rgb="FF1F1F1F"/>
        <rFont val="Georgia"/>
        <family val="1"/>
      </rPr>
      <t> (DIF LEI)</t>
    </r>
  </si>
  <si>
    <t>Pseudodifflugia gracilis </t>
  </si>
  <si>
    <t>PSE GRA</t>
  </si>
  <si>
    <r>
      <t>Difflugia urceolata</t>
    </r>
    <r>
      <rPr>
        <sz val="11"/>
        <color rgb="FF1F1F1F"/>
        <rFont val="Georgia"/>
        <family val="1"/>
      </rPr>
      <t> type (DIF URC)</t>
    </r>
  </si>
  <si>
    <r>
      <t>Heleopera rosea</t>
    </r>
    <r>
      <rPr>
        <sz val="11"/>
        <color rgb="FF1F1F1F"/>
        <rFont val="Georgia"/>
        <family val="1"/>
      </rPr>
      <t> (HEL ROS)</t>
    </r>
  </si>
  <si>
    <r>
      <t>Heleopera sylvatica</t>
    </r>
    <r>
      <rPr>
        <sz val="11"/>
        <color rgb="FF1F1F1F"/>
        <rFont val="Georgia"/>
        <family val="1"/>
      </rPr>
      <t> (HEL SYL)</t>
    </r>
  </si>
  <si>
    <t>Quadrulella symmetrica </t>
  </si>
  <si>
    <t>QUA SYM</t>
  </si>
  <si>
    <r>
      <t>Hyalosphenia elegans</t>
    </r>
    <r>
      <rPr>
        <sz val="11"/>
        <color rgb="FF1F1F1F"/>
        <rFont val="Georgia"/>
        <family val="1"/>
      </rPr>
      <t> (HEL ELE)</t>
    </r>
  </si>
  <si>
    <r>
      <t>Hyalosphenia papilio</t>
    </r>
    <r>
      <rPr>
        <sz val="11"/>
        <color rgb="FF1F1F1F"/>
        <rFont val="Georgia"/>
        <family val="1"/>
      </rPr>
      <t> (HYA PAP)</t>
    </r>
  </si>
  <si>
    <r>
      <t>Hyalosphenia subflava</t>
    </r>
    <r>
      <rPr>
        <sz val="11"/>
        <color rgb="FF1F1F1F"/>
        <rFont val="Georgia"/>
        <family val="1"/>
      </rPr>
      <t> (HYA SUB)</t>
    </r>
  </si>
  <si>
    <t>Hyalosphenia subflava </t>
  </si>
  <si>
    <r>
      <t>Lagenodifflugia vas</t>
    </r>
    <r>
      <rPr>
        <sz val="11"/>
        <color rgb="FF1F1F1F"/>
        <rFont val="Georgia"/>
        <family val="1"/>
      </rPr>
      <t> (LAG VAS)</t>
    </r>
  </si>
  <si>
    <r>
      <t>Lesquereusia epistomum</t>
    </r>
    <r>
      <rPr>
        <sz val="11"/>
        <color rgb="FF1F1F1F"/>
        <rFont val="Georgia"/>
        <family val="1"/>
      </rPr>
      <t> (LES EPI)</t>
    </r>
  </si>
  <si>
    <r>
      <t>Longinebela (Nebela) militaris</t>
    </r>
    <r>
      <rPr>
        <sz val="11"/>
        <color rgb="FF1F1F1F"/>
        <rFont val="Georgia"/>
        <family val="1"/>
      </rPr>
      <t> type (NEB MIL)</t>
    </r>
  </si>
  <si>
    <r>
      <t>Microclamys patella</t>
    </r>
    <r>
      <rPr>
        <sz val="11"/>
        <color rgb="FF1F1F1F"/>
        <rFont val="Georgia"/>
        <family val="1"/>
      </rPr>
      <t> (MIC PAT)</t>
    </r>
  </si>
  <si>
    <r>
      <t>Nebela flabellulum</t>
    </r>
    <r>
      <rPr>
        <sz val="11"/>
        <color rgb="FF1F1F1F"/>
        <rFont val="Georgia"/>
        <family val="1"/>
      </rPr>
      <t> (NEB FLA)</t>
    </r>
  </si>
  <si>
    <r>
      <t>Nebela minor</t>
    </r>
    <r>
      <rPr>
        <sz val="11"/>
        <color rgb="FF1F1F1F"/>
        <rFont val="Georgia"/>
        <family val="1"/>
      </rPr>
      <t> type (NEB MIN)</t>
    </r>
  </si>
  <si>
    <r>
      <t>Paraquadrula irregularis</t>
    </r>
    <r>
      <rPr>
        <sz val="11"/>
        <color rgb="FF1F1F1F"/>
        <rFont val="Georgia"/>
        <family val="1"/>
      </rPr>
      <t> (PAR IRR)</t>
    </r>
  </si>
  <si>
    <r>
      <t>Pontigulasia elisa</t>
    </r>
    <r>
      <rPr>
        <sz val="11"/>
        <color rgb="FF1F1F1F"/>
        <rFont val="Georgia"/>
        <family val="1"/>
      </rPr>
      <t> (PON ELI)</t>
    </r>
  </si>
  <si>
    <r>
      <t>Pseudodifflugia gracilis</t>
    </r>
    <r>
      <rPr>
        <sz val="11"/>
        <color rgb="FF1F1F1F"/>
        <rFont val="Georgia"/>
        <family val="1"/>
      </rPr>
      <t> (PSE GRA)</t>
    </r>
  </si>
  <si>
    <r>
      <t>Quadrulella symmetrica</t>
    </r>
    <r>
      <rPr>
        <sz val="11"/>
        <color rgb="FF1F1F1F"/>
        <rFont val="Georgia"/>
        <family val="1"/>
      </rPr>
      <t> (QUA SYM)</t>
    </r>
  </si>
  <si>
    <t>Wicklow RAW species list</t>
  </si>
  <si>
    <t>Wicklow data order Wet (1) to dry (52)</t>
  </si>
  <si>
    <t>Wicklow Corrected names list species list</t>
  </si>
  <si>
    <t xml:space="preserve">Old names </t>
  </si>
  <si>
    <t xml:space="preserve">New names </t>
  </si>
  <si>
    <t xml:space="preserve">Testate Taxa </t>
  </si>
  <si>
    <t>Wet (1) to dry (52)</t>
  </si>
  <si>
    <t xml:space="preserve">Amesbury code </t>
  </si>
  <si>
    <t>percentages</t>
  </si>
  <si>
    <t>Total raw</t>
  </si>
  <si>
    <t>total duplicated</t>
  </si>
  <si>
    <t xml:space="preserve">To do next </t>
  </si>
  <si>
    <t>Percentages</t>
  </si>
  <si>
    <t xml:space="preserve">Total </t>
  </si>
  <si>
    <t>Age (14C years BP)</t>
  </si>
  <si>
    <t>Age (years 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</si>
</sst>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1F1F1F"/>
      <name val="Georgia"/>
      <family val="1"/>
    </font>
    <font>
      <i/>
      <sz val="11"/>
      <color rgb="FF1F1F1F"/>
      <name val="Georgia"/>
      <family val="1"/>
    </font>
    <font>
      <sz val="11"/>
      <color rgb="FF1F1F1F"/>
      <name val="Georgia"/>
      <family val="1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8E8E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rgb="FF8E8E8E"/>
      </top>
      <bottom style="medium">
        <color rgb="FF8E8E8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/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0" fillId="0" borderId="3" xfId="0" applyBorder="1"/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2" xfId="0" applyFont="1" applyBorder="1"/>
    <xf numFmtId="0" fontId="2" fillId="0" borderId="0" xfId="0" applyFont="1"/>
    <xf numFmtId="0" fontId="0" fillId="2" borderId="3" xfId="0" applyFill="1" applyBorder="1"/>
    <xf numFmtId="0" fontId="0" fillId="3" borderId="0" xfId="0" applyFill="1"/>
    <xf numFmtId="0" fontId="1" fillId="3" borderId="0" xfId="0" applyFont="1" applyFill="1"/>
    <xf numFmtId="0" fontId="7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A1E4-D5EC-477C-8180-42519A3FA187}">
  <dimension ref="A1:C27"/>
  <sheetViews>
    <sheetView topLeftCell="A4" zoomScale="125" workbookViewId="0">
      <selection activeCell="B26" sqref="B26"/>
    </sheetView>
  </sheetViews>
  <sheetFormatPr baseColWidth="10" defaultColWidth="11.5" defaultRowHeight="15" x14ac:dyDescent="0.2"/>
  <cols>
    <col min="2" max="2" width="123" bestFit="1" customWidth="1"/>
  </cols>
  <sheetData>
    <row r="1" spans="1:3" x14ac:dyDescent="0.2">
      <c r="A1" s="17" t="s">
        <v>42</v>
      </c>
      <c r="B1" s="17"/>
      <c r="C1" s="17"/>
    </row>
    <row r="2" spans="1:3" x14ac:dyDescent="0.2">
      <c r="A2" s="17">
        <v>1</v>
      </c>
      <c r="B2" s="17" t="s">
        <v>43</v>
      </c>
      <c r="C2" s="17"/>
    </row>
    <row r="3" spans="1:3" x14ac:dyDescent="0.2">
      <c r="A3" s="17" t="s">
        <v>44</v>
      </c>
      <c r="B3" s="17"/>
      <c r="C3" s="17"/>
    </row>
    <row r="4" spans="1:3" s="2" customFormat="1" x14ac:dyDescent="0.2">
      <c r="A4" s="18">
        <v>2</v>
      </c>
      <c r="B4" s="18" t="s">
        <v>45</v>
      </c>
      <c r="C4" s="18"/>
    </row>
    <row r="5" spans="1:3" s="2" customFormat="1" x14ac:dyDescent="0.2">
      <c r="A5" s="18">
        <v>3</v>
      </c>
      <c r="B5" s="18" t="s">
        <v>46</v>
      </c>
      <c r="C5" s="18"/>
    </row>
    <row r="6" spans="1:3" s="2" customFormat="1" x14ac:dyDescent="0.2">
      <c r="A6" s="18">
        <v>4</v>
      </c>
      <c r="B6" s="18" t="s">
        <v>47</v>
      </c>
      <c r="C6" s="18"/>
    </row>
    <row r="7" spans="1:3" s="2" customFormat="1" x14ac:dyDescent="0.2">
      <c r="A7" s="18">
        <v>5</v>
      </c>
      <c r="B7" s="18" t="s">
        <v>48</v>
      </c>
      <c r="C7" s="18"/>
    </row>
    <row r="8" spans="1:3" s="2" customFormat="1" x14ac:dyDescent="0.2">
      <c r="A8" s="18">
        <v>6</v>
      </c>
      <c r="B8" s="18" t="s">
        <v>49</v>
      </c>
      <c r="C8" s="18"/>
    </row>
    <row r="9" spans="1:3" x14ac:dyDescent="0.2">
      <c r="A9" s="17">
        <v>7</v>
      </c>
      <c r="B9" s="17" t="s">
        <v>50</v>
      </c>
      <c r="C9" s="17"/>
    </row>
    <row r="10" spans="1:3" x14ac:dyDescent="0.2">
      <c r="A10" s="17">
        <v>8</v>
      </c>
      <c r="B10" s="18" t="s">
        <v>51</v>
      </c>
      <c r="C10" s="17"/>
    </row>
    <row r="11" spans="1:3" x14ac:dyDescent="0.2">
      <c r="A11" s="17">
        <v>9</v>
      </c>
      <c r="B11" s="18" t="s">
        <v>52</v>
      </c>
      <c r="C11" s="17"/>
    </row>
    <row r="12" spans="1:3" x14ac:dyDescent="0.2">
      <c r="A12" s="17">
        <v>10</v>
      </c>
      <c r="B12" s="18" t="s">
        <v>53</v>
      </c>
      <c r="C12" s="17"/>
    </row>
    <row r="13" spans="1:3" x14ac:dyDescent="0.2">
      <c r="A13" s="17">
        <v>11</v>
      </c>
      <c r="B13" s="18" t="s">
        <v>54</v>
      </c>
      <c r="C13" s="17"/>
    </row>
    <row r="14" spans="1:3" x14ac:dyDescent="0.2">
      <c r="A14" s="17">
        <v>12</v>
      </c>
      <c r="B14" s="18" t="s">
        <v>55</v>
      </c>
      <c r="C14" s="17"/>
    </row>
    <row r="15" spans="1:3" x14ac:dyDescent="0.2">
      <c r="A15" s="17">
        <v>13</v>
      </c>
      <c r="B15" s="18" t="s">
        <v>56</v>
      </c>
      <c r="C15" s="17"/>
    </row>
    <row r="16" spans="1:3" x14ac:dyDescent="0.2">
      <c r="A16" s="17">
        <v>14</v>
      </c>
      <c r="B16" s="18" t="s">
        <v>57</v>
      </c>
      <c r="C16" s="17"/>
    </row>
    <row r="17" spans="1:3" x14ac:dyDescent="0.2">
      <c r="A17" s="17">
        <v>15</v>
      </c>
      <c r="B17" s="18" t="s">
        <v>58</v>
      </c>
      <c r="C17" s="17"/>
    </row>
    <row r="18" spans="1:3" x14ac:dyDescent="0.2">
      <c r="A18" s="17">
        <v>16</v>
      </c>
      <c r="B18" s="18" t="s">
        <v>59</v>
      </c>
      <c r="C18" s="17"/>
    </row>
    <row r="19" spans="1:3" x14ac:dyDescent="0.2">
      <c r="A19" s="17">
        <v>17</v>
      </c>
      <c r="B19" s="18" t="s">
        <v>60</v>
      </c>
      <c r="C19" s="17"/>
    </row>
    <row r="20" spans="1:3" x14ac:dyDescent="0.2">
      <c r="A20" s="17">
        <v>18</v>
      </c>
      <c r="B20" s="18" t="s">
        <v>61</v>
      </c>
      <c r="C20" s="17"/>
    </row>
    <row r="21" spans="1:3" x14ac:dyDescent="0.2">
      <c r="A21" s="17">
        <v>19</v>
      </c>
      <c r="B21" s="18" t="s">
        <v>62</v>
      </c>
      <c r="C21" s="17"/>
    </row>
    <row r="22" spans="1:3" x14ac:dyDescent="0.2">
      <c r="A22" s="17">
        <v>20</v>
      </c>
      <c r="B22" s="18" t="s">
        <v>63</v>
      </c>
      <c r="C22" s="17"/>
    </row>
    <row r="23" spans="1:3" x14ac:dyDescent="0.2">
      <c r="A23" s="17">
        <v>21</v>
      </c>
      <c r="B23" s="18" t="s">
        <v>64</v>
      </c>
      <c r="C23" s="17"/>
    </row>
    <row r="24" spans="1:3" x14ac:dyDescent="0.2">
      <c r="A24" s="17">
        <v>22</v>
      </c>
      <c r="B24" s="18" t="s">
        <v>65</v>
      </c>
      <c r="C24" s="17"/>
    </row>
    <row r="25" spans="1:3" x14ac:dyDescent="0.2">
      <c r="A25" s="17">
        <v>23</v>
      </c>
      <c r="B25" s="17" t="s">
        <v>66</v>
      </c>
      <c r="C25" s="17" t="s">
        <v>461</v>
      </c>
    </row>
    <row r="26" spans="1:3" x14ac:dyDescent="0.2">
      <c r="A26">
        <v>24</v>
      </c>
      <c r="B26" t="s">
        <v>67</v>
      </c>
    </row>
    <row r="27" spans="1:3" x14ac:dyDescent="0.2">
      <c r="A27">
        <v>25</v>
      </c>
      <c r="B2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workbookViewId="0">
      <pane xSplit="1" topLeftCell="B1" activePane="topRight" state="frozen"/>
      <selection pane="topRight" activeCell="G11" sqref="G11"/>
    </sheetView>
  </sheetViews>
  <sheetFormatPr baseColWidth="10" defaultColWidth="8.83203125" defaultRowHeight="15" x14ac:dyDescent="0.2"/>
  <cols>
    <col min="1" max="1" width="33.5" customWidth="1"/>
    <col min="12" max="17" width="10.33203125" bestFit="1" customWidth="1"/>
  </cols>
  <sheetData>
    <row r="1" spans="1:18" x14ac:dyDescent="0.2">
      <c r="A1" s="2" t="s">
        <v>8</v>
      </c>
    </row>
    <row r="2" spans="1:18" ht="48" x14ac:dyDescent="0.2">
      <c r="A2" s="1" t="s">
        <v>0</v>
      </c>
      <c r="B2" t="s">
        <v>1</v>
      </c>
    </row>
    <row r="3" spans="1:18" x14ac:dyDescent="0.2">
      <c r="A3" t="s">
        <v>2</v>
      </c>
      <c r="B3" t="str">
        <f>B4&amp;"-"&amp;(B4+1)&amp;"cm"</f>
        <v>9-10cm</v>
      </c>
      <c r="C3" t="str">
        <f t="shared" ref="C3:D3" si="0">C4&amp;"-"&amp;(C4+1)&amp;"cm"</f>
        <v>19-20cm</v>
      </c>
      <c r="D3" t="str">
        <f t="shared" si="0"/>
        <v>29-30cm</v>
      </c>
      <c r="E3" t="str">
        <f t="shared" ref="E3:F3" si="1">E4&amp;"-"&amp;(E4+1)&amp;"cm"</f>
        <v>39-40cm</v>
      </c>
      <c r="F3" t="str">
        <f t="shared" si="1"/>
        <v>50-51cm</v>
      </c>
      <c r="G3" t="str">
        <f t="shared" ref="G3" si="2">G4&amp;"-"&amp;(G4+1)&amp;"cm"</f>
        <v>59-60cm</v>
      </c>
      <c r="H3" t="str">
        <f t="shared" ref="H3" si="3">H4&amp;"-"&amp;(H4+1)&amp;"cm"</f>
        <v>69-70cm</v>
      </c>
      <c r="I3" t="str">
        <f t="shared" ref="I3:K3" si="4">I4&amp;"-"&amp;(I4+1)&amp;"cm"</f>
        <v>79-80cm</v>
      </c>
      <c r="J3" t="str">
        <f t="shared" si="4"/>
        <v>89-90cm</v>
      </c>
      <c r="K3" t="str">
        <f t="shared" si="4"/>
        <v>100-101cm</v>
      </c>
      <c r="L3" t="str">
        <f t="shared" ref="L3" si="5">L4&amp;"-"&amp;(L4+1)&amp;"cm"</f>
        <v>109-110cm</v>
      </c>
      <c r="M3" t="str">
        <f t="shared" ref="M3:N3" si="6">M4&amp;"-"&amp;(M4+1)&amp;"cm"</f>
        <v>119-120cm</v>
      </c>
      <c r="N3" t="str">
        <f t="shared" si="6"/>
        <v>129-130cm</v>
      </c>
      <c r="O3" t="str">
        <f t="shared" ref="O3" si="7">O4&amp;"-"&amp;(O4+1)&amp;"cm"</f>
        <v>139-140cm</v>
      </c>
      <c r="P3" t="str">
        <f t="shared" ref="P3" si="8">P4&amp;"-"&amp;(P4+1)&amp;"cm"</f>
        <v>149-150cm</v>
      </c>
      <c r="R3" t="s">
        <v>40</v>
      </c>
    </row>
    <row r="4" spans="1:18" x14ac:dyDescent="0.2">
      <c r="A4" t="s">
        <v>3</v>
      </c>
      <c r="B4">
        <v>9</v>
      </c>
      <c r="C4">
        <v>19</v>
      </c>
      <c r="D4">
        <v>29</v>
      </c>
      <c r="E4">
        <v>39</v>
      </c>
      <c r="F4">
        <v>50</v>
      </c>
      <c r="G4">
        <v>59</v>
      </c>
      <c r="H4">
        <v>69</v>
      </c>
      <c r="I4">
        <v>79</v>
      </c>
      <c r="J4">
        <v>89</v>
      </c>
      <c r="K4">
        <v>100</v>
      </c>
      <c r="L4">
        <v>109</v>
      </c>
      <c r="M4">
        <v>119</v>
      </c>
      <c r="N4">
        <v>129</v>
      </c>
      <c r="O4">
        <v>139</v>
      </c>
      <c r="P4">
        <v>149</v>
      </c>
      <c r="R4">
        <f>SUM(B4:Q4)</f>
        <v>1187</v>
      </c>
    </row>
    <row r="5" spans="1:18" x14ac:dyDescent="0.2">
      <c r="A5" t="s">
        <v>6</v>
      </c>
      <c r="B5">
        <v>27</v>
      </c>
      <c r="C5">
        <v>20</v>
      </c>
      <c r="D5">
        <v>32</v>
      </c>
      <c r="E5">
        <v>23</v>
      </c>
      <c r="F5">
        <v>18</v>
      </c>
      <c r="H5">
        <v>4</v>
      </c>
      <c r="I5">
        <v>31</v>
      </c>
      <c r="J5">
        <v>23</v>
      </c>
      <c r="K5">
        <v>12</v>
      </c>
      <c r="L5">
        <v>16</v>
      </c>
      <c r="M5">
        <v>4</v>
      </c>
      <c r="N5">
        <v>11</v>
      </c>
      <c r="O5">
        <v>8</v>
      </c>
      <c r="P5">
        <v>11</v>
      </c>
      <c r="R5">
        <f t="shared" ref="R5:R36" si="9">SUM(B5:Q5)</f>
        <v>240</v>
      </c>
    </row>
    <row r="6" spans="1:18" x14ac:dyDescent="0.2">
      <c r="A6" t="s">
        <v>9</v>
      </c>
      <c r="D6">
        <v>1</v>
      </c>
      <c r="E6">
        <v>1</v>
      </c>
      <c r="F6">
        <v>4</v>
      </c>
      <c r="G6">
        <v>19</v>
      </c>
      <c r="H6">
        <v>10</v>
      </c>
      <c r="I6">
        <v>1</v>
      </c>
      <c r="J6">
        <v>3</v>
      </c>
      <c r="K6">
        <v>11</v>
      </c>
      <c r="L6">
        <v>3</v>
      </c>
      <c r="M6">
        <v>1</v>
      </c>
      <c r="N6">
        <v>6</v>
      </c>
      <c r="O6">
        <v>4</v>
      </c>
      <c r="P6">
        <v>4</v>
      </c>
      <c r="R6">
        <f t="shared" si="9"/>
        <v>68</v>
      </c>
    </row>
    <row r="7" spans="1:18" x14ac:dyDescent="0.2">
      <c r="A7" t="s">
        <v>5</v>
      </c>
      <c r="D7">
        <v>1</v>
      </c>
      <c r="E7">
        <v>10</v>
      </c>
      <c r="F7">
        <v>12</v>
      </c>
      <c r="G7">
        <v>16</v>
      </c>
      <c r="H7">
        <v>16</v>
      </c>
      <c r="I7">
        <v>5</v>
      </c>
      <c r="J7">
        <v>6</v>
      </c>
      <c r="K7">
        <v>19</v>
      </c>
      <c r="L7">
        <v>3</v>
      </c>
      <c r="M7">
        <v>2</v>
      </c>
      <c r="N7">
        <v>10</v>
      </c>
      <c r="O7">
        <v>8</v>
      </c>
      <c r="P7">
        <v>6</v>
      </c>
      <c r="R7">
        <f t="shared" si="9"/>
        <v>114</v>
      </c>
    </row>
    <row r="8" spans="1:18" x14ac:dyDescent="0.2">
      <c r="A8" t="s">
        <v>10</v>
      </c>
      <c r="B8">
        <v>1</v>
      </c>
      <c r="D8">
        <v>10</v>
      </c>
      <c r="E8">
        <v>24</v>
      </c>
      <c r="F8">
        <v>24</v>
      </c>
      <c r="G8">
        <v>34</v>
      </c>
      <c r="H8">
        <v>23</v>
      </c>
      <c r="I8">
        <v>10</v>
      </c>
      <c r="J8">
        <v>13</v>
      </c>
      <c r="K8">
        <v>12</v>
      </c>
      <c r="L8">
        <v>14</v>
      </c>
      <c r="M8">
        <v>8</v>
      </c>
      <c r="N8">
        <v>20</v>
      </c>
      <c r="O8">
        <v>21</v>
      </c>
      <c r="P8">
        <v>8</v>
      </c>
      <c r="R8">
        <f t="shared" si="9"/>
        <v>222</v>
      </c>
    </row>
    <row r="9" spans="1:18" x14ac:dyDescent="0.2">
      <c r="A9" t="s">
        <v>4</v>
      </c>
      <c r="B9">
        <v>5</v>
      </c>
      <c r="C9">
        <v>8</v>
      </c>
      <c r="E9">
        <v>14</v>
      </c>
      <c r="F9">
        <v>10</v>
      </c>
      <c r="G9">
        <v>10</v>
      </c>
      <c r="H9">
        <v>17</v>
      </c>
      <c r="I9">
        <v>8</v>
      </c>
      <c r="J9">
        <v>8</v>
      </c>
      <c r="K9">
        <v>13</v>
      </c>
      <c r="L9">
        <v>14</v>
      </c>
      <c r="M9">
        <v>4</v>
      </c>
      <c r="N9">
        <v>7</v>
      </c>
      <c r="O9">
        <v>24</v>
      </c>
      <c r="P9">
        <v>12</v>
      </c>
      <c r="R9">
        <f t="shared" si="9"/>
        <v>154</v>
      </c>
    </row>
    <row r="10" spans="1:18" x14ac:dyDescent="0.2">
      <c r="A10" t="s">
        <v>11</v>
      </c>
      <c r="E10">
        <v>4</v>
      </c>
      <c r="F10">
        <v>1</v>
      </c>
      <c r="J10">
        <v>1</v>
      </c>
      <c r="K10">
        <v>3</v>
      </c>
      <c r="L10">
        <v>1</v>
      </c>
      <c r="M10">
        <v>4</v>
      </c>
      <c r="N10">
        <v>1</v>
      </c>
      <c r="O10">
        <v>1</v>
      </c>
      <c r="P10">
        <v>3</v>
      </c>
      <c r="R10">
        <f t="shared" si="9"/>
        <v>19</v>
      </c>
    </row>
    <row r="11" spans="1:18" x14ac:dyDescent="0.2">
      <c r="A11" t="s">
        <v>12</v>
      </c>
      <c r="G11">
        <v>1</v>
      </c>
      <c r="I11">
        <v>2</v>
      </c>
      <c r="J11">
        <v>3</v>
      </c>
      <c r="K11">
        <v>1</v>
      </c>
      <c r="M11">
        <v>2</v>
      </c>
      <c r="N11">
        <v>2</v>
      </c>
      <c r="O11">
        <v>1</v>
      </c>
      <c r="P11">
        <v>4</v>
      </c>
      <c r="R11">
        <f t="shared" si="9"/>
        <v>16</v>
      </c>
    </row>
    <row r="12" spans="1:18" x14ac:dyDescent="0.2">
      <c r="A12" t="s">
        <v>13</v>
      </c>
      <c r="C12">
        <v>1</v>
      </c>
      <c r="H12">
        <v>1</v>
      </c>
      <c r="R12">
        <f t="shared" si="9"/>
        <v>2</v>
      </c>
    </row>
    <row r="13" spans="1:18" x14ac:dyDescent="0.2">
      <c r="A13" t="s">
        <v>14</v>
      </c>
      <c r="E13">
        <v>4</v>
      </c>
      <c r="F13">
        <v>1</v>
      </c>
      <c r="G13">
        <v>1</v>
      </c>
      <c r="L13">
        <v>1</v>
      </c>
      <c r="M13">
        <v>2</v>
      </c>
      <c r="O13">
        <v>1</v>
      </c>
      <c r="R13">
        <f t="shared" si="9"/>
        <v>10</v>
      </c>
    </row>
    <row r="14" spans="1:18" x14ac:dyDescent="0.2">
      <c r="A14" t="s">
        <v>16</v>
      </c>
      <c r="C14">
        <v>1</v>
      </c>
      <c r="R14">
        <f t="shared" si="9"/>
        <v>1</v>
      </c>
    </row>
    <row r="15" spans="1:18" x14ac:dyDescent="0.2">
      <c r="A15" t="s">
        <v>17</v>
      </c>
      <c r="B15">
        <v>16</v>
      </c>
      <c r="C15">
        <v>36</v>
      </c>
      <c r="D15">
        <v>14</v>
      </c>
      <c r="E15">
        <v>11</v>
      </c>
      <c r="F15">
        <v>5</v>
      </c>
      <c r="G15">
        <v>3</v>
      </c>
      <c r="H15">
        <v>7</v>
      </c>
      <c r="I15">
        <v>21</v>
      </c>
      <c r="J15">
        <v>17</v>
      </c>
      <c r="K15">
        <v>13</v>
      </c>
      <c r="L15">
        <v>11</v>
      </c>
      <c r="M15">
        <v>2</v>
      </c>
      <c r="N15">
        <v>10</v>
      </c>
      <c r="O15">
        <v>11</v>
      </c>
      <c r="P15">
        <v>18</v>
      </c>
      <c r="R15">
        <f t="shared" si="9"/>
        <v>195</v>
      </c>
    </row>
    <row r="16" spans="1:18" x14ac:dyDescent="0.2">
      <c r="A16" t="s">
        <v>19</v>
      </c>
      <c r="I16">
        <v>1</v>
      </c>
      <c r="R16">
        <f t="shared" si="9"/>
        <v>1</v>
      </c>
    </row>
    <row r="17" spans="1:18" x14ac:dyDescent="0.2">
      <c r="A17" t="s">
        <v>20</v>
      </c>
      <c r="B17">
        <v>10</v>
      </c>
      <c r="C17">
        <v>3</v>
      </c>
      <c r="E17">
        <v>3</v>
      </c>
      <c r="F17">
        <v>4</v>
      </c>
      <c r="G17">
        <v>1</v>
      </c>
      <c r="H17">
        <v>8</v>
      </c>
      <c r="I17">
        <v>5</v>
      </c>
      <c r="J17">
        <v>3</v>
      </c>
      <c r="K17">
        <v>4</v>
      </c>
      <c r="L17">
        <v>3</v>
      </c>
      <c r="M17">
        <v>2</v>
      </c>
      <c r="N17">
        <v>3</v>
      </c>
      <c r="O17">
        <v>3</v>
      </c>
      <c r="P17">
        <v>4</v>
      </c>
      <c r="R17">
        <f t="shared" si="9"/>
        <v>56</v>
      </c>
    </row>
    <row r="18" spans="1:18" x14ac:dyDescent="0.2">
      <c r="A18" t="s">
        <v>7</v>
      </c>
      <c r="B18">
        <v>13</v>
      </c>
      <c r="C18">
        <v>18</v>
      </c>
      <c r="D18">
        <v>11</v>
      </c>
      <c r="E18">
        <v>5</v>
      </c>
      <c r="F18">
        <v>12</v>
      </c>
      <c r="G18">
        <v>2</v>
      </c>
      <c r="H18">
        <v>1</v>
      </c>
      <c r="I18">
        <v>9</v>
      </c>
      <c r="J18">
        <v>16</v>
      </c>
      <c r="K18">
        <v>2</v>
      </c>
      <c r="L18">
        <v>21</v>
      </c>
      <c r="M18">
        <v>5</v>
      </c>
      <c r="N18">
        <v>31</v>
      </c>
      <c r="O18">
        <v>12</v>
      </c>
      <c r="P18">
        <v>24</v>
      </c>
      <c r="R18">
        <f t="shared" si="9"/>
        <v>182</v>
      </c>
    </row>
    <row r="19" spans="1:18" x14ac:dyDescent="0.2">
      <c r="A19" t="s">
        <v>21</v>
      </c>
      <c r="B19">
        <v>1</v>
      </c>
      <c r="E19">
        <v>1</v>
      </c>
      <c r="I19">
        <v>1</v>
      </c>
      <c r="M19">
        <v>1</v>
      </c>
      <c r="O19">
        <v>1</v>
      </c>
      <c r="R19">
        <f t="shared" si="9"/>
        <v>5</v>
      </c>
    </row>
    <row r="20" spans="1:18" x14ac:dyDescent="0.2">
      <c r="A20" t="s">
        <v>22</v>
      </c>
      <c r="J20">
        <v>1</v>
      </c>
      <c r="N20">
        <v>2</v>
      </c>
      <c r="O20">
        <v>3</v>
      </c>
      <c r="R20">
        <f t="shared" si="9"/>
        <v>6</v>
      </c>
    </row>
    <row r="21" spans="1:18" x14ac:dyDescent="0.2">
      <c r="A21" t="s">
        <v>23</v>
      </c>
      <c r="C21">
        <v>2</v>
      </c>
      <c r="R21">
        <f t="shared" si="9"/>
        <v>2</v>
      </c>
    </row>
    <row r="22" spans="1:18" x14ac:dyDescent="0.2">
      <c r="A22" t="s">
        <v>24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L22">
        <v>1</v>
      </c>
      <c r="P22">
        <v>3</v>
      </c>
      <c r="R22">
        <f t="shared" si="9"/>
        <v>12</v>
      </c>
    </row>
    <row r="23" spans="1:18" x14ac:dyDescent="0.2">
      <c r="A23" t="s">
        <v>25</v>
      </c>
      <c r="K23">
        <v>2</v>
      </c>
      <c r="R23">
        <f t="shared" si="9"/>
        <v>2</v>
      </c>
    </row>
    <row r="24" spans="1:18" x14ac:dyDescent="0.2">
      <c r="A24" t="s">
        <v>26</v>
      </c>
      <c r="D24">
        <v>5</v>
      </c>
      <c r="E24">
        <v>3</v>
      </c>
      <c r="F24">
        <v>1</v>
      </c>
      <c r="G24">
        <v>1</v>
      </c>
      <c r="H24">
        <v>3</v>
      </c>
      <c r="I24">
        <v>1</v>
      </c>
      <c r="K24">
        <v>4</v>
      </c>
      <c r="N24">
        <v>1</v>
      </c>
      <c r="R24">
        <f t="shared" si="9"/>
        <v>19</v>
      </c>
    </row>
    <row r="25" spans="1:18" x14ac:dyDescent="0.2">
      <c r="A25" t="s">
        <v>27</v>
      </c>
      <c r="B25">
        <v>1</v>
      </c>
      <c r="C25">
        <v>2</v>
      </c>
      <c r="D25">
        <v>6</v>
      </c>
      <c r="E25">
        <v>6</v>
      </c>
      <c r="F25">
        <v>4</v>
      </c>
      <c r="H25">
        <v>3</v>
      </c>
      <c r="J25">
        <v>2</v>
      </c>
      <c r="L25">
        <v>2</v>
      </c>
      <c r="M25">
        <v>5</v>
      </c>
      <c r="N25">
        <v>1</v>
      </c>
      <c r="O25">
        <v>2</v>
      </c>
      <c r="P25">
        <v>3</v>
      </c>
      <c r="R25">
        <f t="shared" si="9"/>
        <v>37</v>
      </c>
    </row>
    <row r="26" spans="1:18" x14ac:dyDescent="0.2">
      <c r="A26" t="s">
        <v>28</v>
      </c>
      <c r="B26">
        <v>3</v>
      </c>
      <c r="C26">
        <v>1</v>
      </c>
      <c r="E26">
        <v>2</v>
      </c>
      <c r="F26">
        <v>1</v>
      </c>
      <c r="J26">
        <v>1</v>
      </c>
      <c r="M26">
        <v>1</v>
      </c>
      <c r="R26">
        <f t="shared" si="9"/>
        <v>9</v>
      </c>
    </row>
    <row r="27" spans="1:18" x14ac:dyDescent="0.2">
      <c r="A27" t="s">
        <v>29</v>
      </c>
      <c r="I27">
        <v>1</v>
      </c>
      <c r="L27">
        <v>1</v>
      </c>
      <c r="R27">
        <f t="shared" si="9"/>
        <v>2</v>
      </c>
    </row>
    <row r="28" spans="1:18" x14ac:dyDescent="0.2">
      <c r="A28" t="s">
        <v>30</v>
      </c>
      <c r="D28">
        <v>1</v>
      </c>
      <c r="G28">
        <v>1</v>
      </c>
      <c r="J28">
        <v>1</v>
      </c>
      <c r="M28">
        <v>1</v>
      </c>
      <c r="R28">
        <f t="shared" si="9"/>
        <v>4</v>
      </c>
    </row>
    <row r="29" spans="1:18" x14ac:dyDescent="0.2">
      <c r="A29" t="s">
        <v>31</v>
      </c>
      <c r="B29">
        <v>18</v>
      </c>
      <c r="C29">
        <v>1</v>
      </c>
      <c r="D29">
        <v>2</v>
      </c>
      <c r="G29">
        <v>1</v>
      </c>
      <c r="R29">
        <f t="shared" si="9"/>
        <v>22</v>
      </c>
    </row>
    <row r="30" spans="1:18" x14ac:dyDescent="0.2">
      <c r="A30" t="s">
        <v>32</v>
      </c>
      <c r="B30">
        <v>1</v>
      </c>
      <c r="D30">
        <v>1</v>
      </c>
      <c r="F30">
        <v>1</v>
      </c>
      <c r="G30">
        <v>1</v>
      </c>
      <c r="R30">
        <f t="shared" si="9"/>
        <v>4</v>
      </c>
    </row>
    <row r="31" spans="1:18" x14ac:dyDescent="0.2">
      <c r="A31" t="s">
        <v>33</v>
      </c>
      <c r="D31">
        <v>6</v>
      </c>
      <c r="E31">
        <v>1</v>
      </c>
      <c r="F31">
        <v>4</v>
      </c>
      <c r="G31">
        <v>3</v>
      </c>
      <c r="H31">
        <v>1</v>
      </c>
      <c r="I31">
        <v>2</v>
      </c>
      <c r="J31">
        <v>1</v>
      </c>
      <c r="K31">
        <v>2</v>
      </c>
      <c r="M31">
        <v>1</v>
      </c>
      <c r="R31">
        <f t="shared" si="9"/>
        <v>21</v>
      </c>
    </row>
    <row r="32" spans="1:18" x14ac:dyDescent="0.2">
      <c r="A32" t="s">
        <v>34</v>
      </c>
      <c r="D32">
        <v>1</v>
      </c>
      <c r="P32">
        <v>1</v>
      </c>
      <c r="R32">
        <f t="shared" si="9"/>
        <v>2</v>
      </c>
    </row>
    <row r="33" spans="1:19" x14ac:dyDescent="0.2">
      <c r="A33" t="s">
        <v>35</v>
      </c>
      <c r="I33">
        <v>1</v>
      </c>
      <c r="R33">
        <f t="shared" si="9"/>
        <v>1</v>
      </c>
    </row>
    <row r="34" spans="1:19" x14ac:dyDescent="0.2">
      <c r="A34" t="s">
        <v>36</v>
      </c>
      <c r="L34">
        <v>1</v>
      </c>
      <c r="N34">
        <v>1</v>
      </c>
      <c r="R34">
        <f t="shared" si="9"/>
        <v>2</v>
      </c>
    </row>
    <row r="35" spans="1:19" x14ac:dyDescent="0.2">
      <c r="A35" t="s">
        <v>37</v>
      </c>
      <c r="L35">
        <v>1</v>
      </c>
      <c r="R35">
        <f t="shared" si="9"/>
        <v>1</v>
      </c>
    </row>
    <row r="36" spans="1:19" x14ac:dyDescent="0.2">
      <c r="A36" t="s">
        <v>39</v>
      </c>
      <c r="B36">
        <v>6</v>
      </c>
      <c r="C36">
        <v>4</v>
      </c>
      <c r="D36">
        <v>1</v>
      </c>
      <c r="E36">
        <v>1</v>
      </c>
      <c r="G36">
        <v>3</v>
      </c>
      <c r="O36">
        <v>1</v>
      </c>
      <c r="R36">
        <f t="shared" si="9"/>
        <v>16</v>
      </c>
    </row>
    <row r="37" spans="1:19" x14ac:dyDescent="0.2">
      <c r="A37" t="s">
        <v>40</v>
      </c>
      <c r="B37">
        <f t="shared" ref="B37:P37" si="10">SUM(B5:B36)</f>
        <v>102</v>
      </c>
      <c r="C37">
        <f t="shared" si="10"/>
        <v>98</v>
      </c>
      <c r="D37">
        <f t="shared" si="10"/>
        <v>93</v>
      </c>
      <c r="E37">
        <f t="shared" si="10"/>
        <v>114</v>
      </c>
      <c r="F37">
        <f t="shared" si="10"/>
        <v>103</v>
      </c>
      <c r="G37">
        <f t="shared" si="10"/>
        <v>98</v>
      </c>
      <c r="H37">
        <f t="shared" si="10"/>
        <v>95</v>
      </c>
      <c r="I37">
        <f t="shared" si="10"/>
        <v>100</v>
      </c>
      <c r="J37">
        <f t="shared" si="10"/>
        <v>100</v>
      </c>
      <c r="K37">
        <f t="shared" si="10"/>
        <v>98</v>
      </c>
      <c r="L37">
        <f t="shared" si="10"/>
        <v>93</v>
      </c>
      <c r="M37">
        <f t="shared" si="10"/>
        <v>45</v>
      </c>
      <c r="N37">
        <f t="shared" si="10"/>
        <v>106</v>
      </c>
      <c r="O37">
        <f t="shared" si="10"/>
        <v>101</v>
      </c>
      <c r="P37">
        <f t="shared" si="10"/>
        <v>101</v>
      </c>
      <c r="R37" t="s">
        <v>41</v>
      </c>
      <c r="S37">
        <f>SUM(B37:Q37)</f>
        <v>1447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B3841-237B-4538-9AF3-8C82A9000298}">
  <dimension ref="A1:V37"/>
  <sheetViews>
    <sheetView workbookViewId="0">
      <selection activeCell="B12" sqref="B12"/>
    </sheetView>
  </sheetViews>
  <sheetFormatPr baseColWidth="10" defaultColWidth="8.83203125" defaultRowHeight="15" x14ac:dyDescent="0.2"/>
  <cols>
    <col min="1" max="4" width="33.5" customWidth="1"/>
    <col min="15" max="20" width="10.33203125" bestFit="1" customWidth="1"/>
  </cols>
  <sheetData>
    <row r="1" spans="1:21" x14ac:dyDescent="0.2">
      <c r="A1" s="2"/>
      <c r="B1" s="2"/>
      <c r="C1" s="2"/>
      <c r="D1" s="2" t="s">
        <v>8</v>
      </c>
    </row>
    <row r="2" spans="1:21" ht="16" x14ac:dyDescent="0.2">
      <c r="A2" t="s">
        <v>454</v>
      </c>
      <c r="D2" s="1" t="s">
        <v>453</v>
      </c>
      <c r="E2" t="s">
        <v>1</v>
      </c>
    </row>
    <row r="3" spans="1:21" x14ac:dyDescent="0.2">
      <c r="A3" t="s">
        <v>2</v>
      </c>
      <c r="D3" t="s">
        <v>2</v>
      </c>
      <c r="E3" t="str">
        <f>E4&amp;"-"&amp;(E4+1)&amp;"cm"</f>
        <v>9-10cm</v>
      </c>
      <c r="F3" t="str">
        <f t="shared" ref="F3:S3" si="0">F4&amp;"-"&amp;(F4+1)&amp;"cm"</f>
        <v>19-20cm</v>
      </c>
      <c r="G3" t="str">
        <f t="shared" si="0"/>
        <v>29-30cm</v>
      </c>
      <c r="H3" t="str">
        <f t="shared" si="0"/>
        <v>39-40cm</v>
      </c>
      <c r="I3" t="str">
        <f t="shared" si="0"/>
        <v>50-51cm</v>
      </c>
      <c r="J3" t="str">
        <f t="shared" si="0"/>
        <v>59-60cm</v>
      </c>
      <c r="K3" t="str">
        <f t="shared" si="0"/>
        <v>69-70cm</v>
      </c>
      <c r="L3" t="str">
        <f t="shared" si="0"/>
        <v>79-80cm</v>
      </c>
      <c r="M3" t="str">
        <f t="shared" si="0"/>
        <v>89-90cm</v>
      </c>
      <c r="N3" t="str">
        <f t="shared" si="0"/>
        <v>100-101cm</v>
      </c>
      <c r="O3" t="str">
        <f t="shared" si="0"/>
        <v>109-110cm</v>
      </c>
      <c r="P3" t="str">
        <f t="shared" si="0"/>
        <v>119-120cm</v>
      </c>
      <c r="Q3" t="str">
        <f t="shared" si="0"/>
        <v>129-130cm</v>
      </c>
      <c r="R3" t="str">
        <f t="shared" si="0"/>
        <v>139-140cm</v>
      </c>
      <c r="S3" t="str">
        <f t="shared" si="0"/>
        <v>149-150cm</v>
      </c>
      <c r="U3" t="s">
        <v>40</v>
      </c>
    </row>
    <row r="4" spans="1:21" x14ac:dyDescent="0.2">
      <c r="A4" t="s">
        <v>3</v>
      </c>
      <c r="D4" t="s">
        <v>3</v>
      </c>
      <c r="E4">
        <v>9</v>
      </c>
      <c r="F4">
        <v>19</v>
      </c>
      <c r="G4">
        <v>29</v>
      </c>
      <c r="H4">
        <v>39</v>
      </c>
      <c r="I4">
        <v>50</v>
      </c>
      <c r="J4">
        <v>59</v>
      </c>
      <c r="K4">
        <v>69</v>
      </c>
      <c r="L4">
        <v>79</v>
      </c>
      <c r="M4">
        <v>89</v>
      </c>
      <c r="N4">
        <v>100</v>
      </c>
      <c r="O4">
        <v>109</v>
      </c>
      <c r="P4">
        <v>119</v>
      </c>
      <c r="Q4">
        <v>129</v>
      </c>
      <c r="R4">
        <v>139</v>
      </c>
      <c r="S4">
        <v>149</v>
      </c>
      <c r="U4">
        <f>SUM(E4:T4)</f>
        <v>1187</v>
      </c>
    </row>
    <row r="5" spans="1:21" x14ac:dyDescent="0.2">
      <c r="A5" t="s">
        <v>112</v>
      </c>
      <c r="B5">
        <v>46</v>
      </c>
      <c r="C5" t="s">
        <v>113</v>
      </c>
      <c r="D5" t="s">
        <v>6</v>
      </c>
      <c r="E5">
        <v>27</v>
      </c>
      <c r="F5">
        <v>20</v>
      </c>
      <c r="G5">
        <v>32</v>
      </c>
      <c r="H5">
        <v>23</v>
      </c>
      <c r="I5">
        <v>18</v>
      </c>
      <c r="K5">
        <v>4</v>
      </c>
      <c r="L5">
        <v>31</v>
      </c>
      <c r="M5">
        <v>23</v>
      </c>
      <c r="N5">
        <v>12</v>
      </c>
      <c r="O5">
        <v>16</v>
      </c>
      <c r="P5">
        <v>4</v>
      </c>
      <c r="Q5">
        <v>11</v>
      </c>
      <c r="R5">
        <v>8</v>
      </c>
      <c r="S5">
        <v>11</v>
      </c>
      <c r="U5">
        <f t="shared" ref="U5:U36" si="1">SUM(E5:T5)</f>
        <v>240</v>
      </c>
    </row>
    <row r="6" spans="1:21" x14ac:dyDescent="0.2">
      <c r="A6" t="s">
        <v>9</v>
      </c>
      <c r="B6">
        <v>9</v>
      </c>
      <c r="C6" t="s">
        <v>88</v>
      </c>
      <c r="D6" t="s">
        <v>9</v>
      </c>
      <c r="G6">
        <v>1</v>
      </c>
      <c r="H6">
        <v>1</v>
      </c>
      <c r="I6">
        <v>4</v>
      </c>
      <c r="J6">
        <v>19</v>
      </c>
      <c r="K6">
        <v>10</v>
      </c>
      <c r="L6">
        <v>1</v>
      </c>
      <c r="M6">
        <v>3</v>
      </c>
      <c r="N6">
        <v>11</v>
      </c>
      <c r="O6">
        <v>3</v>
      </c>
      <c r="P6">
        <v>1</v>
      </c>
      <c r="Q6">
        <v>6</v>
      </c>
      <c r="R6">
        <v>4</v>
      </c>
      <c r="S6">
        <v>4</v>
      </c>
      <c r="U6">
        <f t="shared" si="1"/>
        <v>68</v>
      </c>
    </row>
    <row r="7" spans="1:21" x14ac:dyDescent="0.2">
      <c r="A7" t="s">
        <v>5</v>
      </c>
      <c r="B7">
        <v>9</v>
      </c>
      <c r="C7" t="s">
        <v>88</v>
      </c>
      <c r="D7" t="s">
        <v>5</v>
      </c>
      <c r="G7">
        <v>1</v>
      </c>
      <c r="H7">
        <v>10</v>
      </c>
      <c r="I7">
        <v>12</v>
      </c>
      <c r="J7">
        <v>16</v>
      </c>
      <c r="K7">
        <v>16</v>
      </c>
      <c r="L7">
        <v>5</v>
      </c>
      <c r="M7">
        <v>6</v>
      </c>
      <c r="N7">
        <v>19</v>
      </c>
      <c r="O7">
        <v>3</v>
      </c>
      <c r="P7">
        <v>2</v>
      </c>
      <c r="Q7">
        <v>10</v>
      </c>
      <c r="R7">
        <v>8</v>
      </c>
      <c r="S7">
        <v>6</v>
      </c>
      <c r="U7">
        <f t="shared" si="1"/>
        <v>114</v>
      </c>
    </row>
    <row r="8" spans="1:21" x14ac:dyDescent="0.2">
      <c r="A8" t="s">
        <v>150</v>
      </c>
      <c r="B8">
        <v>18</v>
      </c>
      <c r="C8" t="s">
        <v>91</v>
      </c>
      <c r="D8" t="s">
        <v>10</v>
      </c>
      <c r="E8">
        <v>1</v>
      </c>
      <c r="G8">
        <v>10</v>
      </c>
      <c r="H8">
        <v>24</v>
      </c>
      <c r="I8">
        <v>24</v>
      </c>
      <c r="J8">
        <v>34</v>
      </c>
      <c r="K8">
        <v>23</v>
      </c>
      <c r="L8">
        <v>10</v>
      </c>
      <c r="M8">
        <v>13</v>
      </c>
      <c r="N8">
        <v>12</v>
      </c>
      <c r="O8">
        <v>14</v>
      </c>
      <c r="P8">
        <v>8</v>
      </c>
      <c r="Q8">
        <v>20</v>
      </c>
      <c r="R8">
        <v>21</v>
      </c>
      <c r="S8">
        <v>8</v>
      </c>
      <c r="U8">
        <f t="shared" si="1"/>
        <v>222</v>
      </c>
    </row>
    <row r="9" spans="1:21" x14ac:dyDescent="0.2">
      <c r="A9" t="s">
        <v>4</v>
      </c>
      <c r="B9">
        <v>47</v>
      </c>
      <c r="C9" t="s">
        <v>89</v>
      </c>
      <c r="D9" t="s">
        <v>4</v>
      </c>
      <c r="E9">
        <v>5</v>
      </c>
      <c r="F9">
        <v>8</v>
      </c>
      <c r="H9">
        <v>14</v>
      </c>
      <c r="I9">
        <v>10</v>
      </c>
      <c r="J9">
        <v>10</v>
      </c>
      <c r="K9">
        <v>17</v>
      </c>
      <c r="L9">
        <v>8</v>
      </c>
      <c r="M9">
        <v>8</v>
      </c>
      <c r="N9">
        <v>13</v>
      </c>
      <c r="O9">
        <v>14</v>
      </c>
      <c r="P9">
        <v>4</v>
      </c>
      <c r="Q9">
        <v>7</v>
      </c>
      <c r="R9">
        <v>24</v>
      </c>
      <c r="S9">
        <v>12</v>
      </c>
      <c r="U9">
        <f t="shared" si="1"/>
        <v>154</v>
      </c>
    </row>
    <row r="10" spans="1:21" x14ac:dyDescent="0.2">
      <c r="A10" t="s">
        <v>11</v>
      </c>
      <c r="B10">
        <v>40</v>
      </c>
      <c r="C10" t="s">
        <v>96</v>
      </c>
      <c r="D10" t="s">
        <v>11</v>
      </c>
      <c r="H10">
        <v>4</v>
      </c>
      <c r="I10">
        <v>1</v>
      </c>
      <c r="M10">
        <v>1</v>
      </c>
      <c r="N10">
        <v>3</v>
      </c>
      <c r="O10">
        <v>1</v>
      </c>
      <c r="P10">
        <v>4</v>
      </c>
      <c r="Q10">
        <v>1</v>
      </c>
      <c r="R10">
        <v>1</v>
      </c>
      <c r="S10">
        <v>3</v>
      </c>
      <c r="U10">
        <f t="shared" si="1"/>
        <v>19</v>
      </c>
    </row>
    <row r="11" spans="1:21" x14ac:dyDescent="0.2">
      <c r="A11" t="s">
        <v>164</v>
      </c>
      <c r="B11">
        <v>22</v>
      </c>
      <c r="C11" t="s">
        <v>117</v>
      </c>
      <c r="D11" t="s">
        <v>12</v>
      </c>
      <c r="J11">
        <v>1</v>
      </c>
      <c r="L11">
        <v>2</v>
      </c>
      <c r="M11">
        <v>3</v>
      </c>
      <c r="N11">
        <v>1</v>
      </c>
      <c r="P11">
        <v>2</v>
      </c>
      <c r="Q11">
        <v>2</v>
      </c>
      <c r="R11">
        <v>1</v>
      </c>
      <c r="S11">
        <v>4</v>
      </c>
      <c r="U11">
        <f t="shared" si="1"/>
        <v>16</v>
      </c>
    </row>
    <row r="12" spans="1:21" x14ac:dyDescent="0.2">
      <c r="A12" t="s">
        <v>186</v>
      </c>
      <c r="B12">
        <v>35</v>
      </c>
      <c r="C12" t="s">
        <v>122</v>
      </c>
      <c r="D12" t="s">
        <v>13</v>
      </c>
      <c r="F12">
        <v>1</v>
      </c>
      <c r="K12">
        <v>1</v>
      </c>
      <c r="U12">
        <f t="shared" si="1"/>
        <v>2</v>
      </c>
    </row>
    <row r="13" spans="1:21" x14ac:dyDescent="0.2">
      <c r="A13" t="s">
        <v>208</v>
      </c>
      <c r="B13">
        <v>50</v>
      </c>
      <c r="C13" t="s">
        <v>125</v>
      </c>
      <c r="D13" t="s">
        <v>14</v>
      </c>
      <c r="H13">
        <v>4</v>
      </c>
      <c r="I13">
        <v>1</v>
      </c>
      <c r="J13">
        <v>1</v>
      </c>
      <c r="O13">
        <v>1</v>
      </c>
      <c r="P13">
        <v>2</v>
      </c>
      <c r="R13">
        <v>1</v>
      </c>
      <c r="U13">
        <f t="shared" si="1"/>
        <v>10</v>
      </c>
    </row>
    <row r="14" spans="1:21" x14ac:dyDescent="0.2">
      <c r="A14" t="s">
        <v>223</v>
      </c>
      <c r="B14">
        <v>49</v>
      </c>
      <c r="C14" t="s">
        <v>216</v>
      </c>
      <c r="D14" t="s">
        <v>16</v>
      </c>
      <c r="F14">
        <v>1</v>
      </c>
      <c r="U14">
        <f t="shared" si="1"/>
        <v>1</v>
      </c>
    </row>
    <row r="15" spans="1:21" x14ac:dyDescent="0.2">
      <c r="A15" t="s">
        <v>222</v>
      </c>
      <c r="B15">
        <v>27</v>
      </c>
      <c r="C15" t="s">
        <v>148</v>
      </c>
      <c r="D15" t="s">
        <v>17</v>
      </c>
      <c r="E15">
        <v>16</v>
      </c>
      <c r="F15">
        <v>36</v>
      </c>
      <c r="G15">
        <v>14</v>
      </c>
      <c r="H15">
        <v>11</v>
      </c>
      <c r="I15">
        <v>5</v>
      </c>
      <c r="J15">
        <v>3</v>
      </c>
      <c r="K15">
        <v>7</v>
      </c>
      <c r="L15">
        <v>21</v>
      </c>
      <c r="M15">
        <v>17</v>
      </c>
      <c r="N15">
        <v>13</v>
      </c>
      <c r="O15">
        <v>11</v>
      </c>
      <c r="P15">
        <v>2</v>
      </c>
      <c r="Q15">
        <v>10</v>
      </c>
      <c r="R15">
        <v>11</v>
      </c>
      <c r="S15">
        <v>18</v>
      </c>
      <c r="U15">
        <f t="shared" si="1"/>
        <v>195</v>
      </c>
    </row>
    <row r="16" spans="1:21" x14ac:dyDescent="0.2">
      <c r="A16" t="s">
        <v>273</v>
      </c>
      <c r="B16">
        <v>4</v>
      </c>
      <c r="C16" t="s">
        <v>151</v>
      </c>
      <c r="D16" t="s">
        <v>19</v>
      </c>
      <c r="L16">
        <v>1</v>
      </c>
      <c r="U16">
        <f t="shared" si="1"/>
        <v>1</v>
      </c>
    </row>
    <row r="17" spans="1:21" x14ac:dyDescent="0.2">
      <c r="A17" t="s">
        <v>280</v>
      </c>
      <c r="B17">
        <v>25</v>
      </c>
      <c r="C17" t="s">
        <v>154</v>
      </c>
      <c r="D17" t="s">
        <v>20</v>
      </c>
      <c r="E17">
        <v>10</v>
      </c>
      <c r="F17">
        <v>3</v>
      </c>
      <c r="H17">
        <v>3</v>
      </c>
      <c r="I17">
        <v>4</v>
      </c>
      <c r="J17">
        <v>1</v>
      </c>
      <c r="K17">
        <v>8</v>
      </c>
      <c r="L17">
        <v>5</v>
      </c>
      <c r="M17">
        <v>3</v>
      </c>
      <c r="N17">
        <v>4</v>
      </c>
      <c r="O17">
        <v>3</v>
      </c>
      <c r="P17">
        <v>2</v>
      </c>
      <c r="Q17">
        <v>3</v>
      </c>
      <c r="R17">
        <v>3</v>
      </c>
      <c r="S17">
        <v>4</v>
      </c>
      <c r="U17">
        <f t="shared" si="1"/>
        <v>56</v>
      </c>
    </row>
    <row r="18" spans="1:21" x14ac:dyDescent="0.2">
      <c r="A18" t="s">
        <v>7</v>
      </c>
      <c r="B18">
        <v>36</v>
      </c>
      <c r="C18" t="s">
        <v>156</v>
      </c>
      <c r="D18" t="s">
        <v>7</v>
      </c>
      <c r="E18">
        <v>13</v>
      </c>
      <c r="F18">
        <v>18</v>
      </c>
      <c r="G18">
        <v>11</v>
      </c>
      <c r="H18">
        <v>5</v>
      </c>
      <c r="I18">
        <v>12</v>
      </c>
      <c r="J18">
        <v>2</v>
      </c>
      <c r="K18">
        <v>1</v>
      </c>
      <c r="L18">
        <v>9</v>
      </c>
      <c r="M18">
        <v>16</v>
      </c>
      <c r="N18">
        <v>2</v>
      </c>
      <c r="O18">
        <v>21</v>
      </c>
      <c r="P18">
        <v>5</v>
      </c>
      <c r="Q18">
        <v>31</v>
      </c>
      <c r="R18">
        <v>12</v>
      </c>
      <c r="S18">
        <v>24</v>
      </c>
      <c r="U18">
        <f t="shared" si="1"/>
        <v>182</v>
      </c>
    </row>
    <row r="19" spans="1:21" x14ac:dyDescent="0.2">
      <c r="A19" t="s">
        <v>311</v>
      </c>
      <c r="B19">
        <v>38</v>
      </c>
      <c r="C19" t="s">
        <v>171</v>
      </c>
      <c r="D19" t="s">
        <v>21</v>
      </c>
      <c r="E19">
        <v>1</v>
      </c>
      <c r="H19">
        <v>1</v>
      </c>
      <c r="L19">
        <v>1</v>
      </c>
      <c r="P19">
        <v>1</v>
      </c>
      <c r="R19">
        <v>1</v>
      </c>
      <c r="U19">
        <f t="shared" si="1"/>
        <v>5</v>
      </c>
    </row>
    <row r="20" spans="1:21" x14ac:dyDescent="0.2">
      <c r="A20" t="s">
        <v>317</v>
      </c>
      <c r="B20">
        <v>33</v>
      </c>
      <c r="C20" t="s">
        <v>292</v>
      </c>
      <c r="D20" t="s">
        <v>22</v>
      </c>
      <c r="M20">
        <v>1</v>
      </c>
      <c r="Q20">
        <v>2</v>
      </c>
      <c r="R20">
        <v>3</v>
      </c>
      <c r="U20">
        <f t="shared" si="1"/>
        <v>6</v>
      </c>
    </row>
    <row r="21" spans="1:21" x14ac:dyDescent="0.2">
      <c r="A21" t="s">
        <v>106</v>
      </c>
      <c r="B21">
        <v>15</v>
      </c>
      <c r="C21" t="s">
        <v>102</v>
      </c>
      <c r="D21" t="s">
        <v>23</v>
      </c>
      <c r="F21">
        <v>2</v>
      </c>
      <c r="U21">
        <f t="shared" si="1"/>
        <v>2</v>
      </c>
    </row>
    <row r="22" spans="1:21" x14ac:dyDescent="0.2">
      <c r="A22" t="s">
        <v>327</v>
      </c>
      <c r="B22">
        <v>30</v>
      </c>
      <c r="C22" t="s">
        <v>129</v>
      </c>
      <c r="D22" t="s">
        <v>24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O22">
        <v>1</v>
      </c>
      <c r="S22">
        <v>3</v>
      </c>
      <c r="U22">
        <f t="shared" si="1"/>
        <v>12</v>
      </c>
    </row>
    <row r="23" spans="1:21" x14ac:dyDescent="0.2">
      <c r="A23" t="s">
        <v>25</v>
      </c>
      <c r="B23">
        <v>39</v>
      </c>
      <c r="C23" t="s">
        <v>333</v>
      </c>
      <c r="D23" t="s">
        <v>25</v>
      </c>
      <c r="N23">
        <v>2</v>
      </c>
      <c r="U23">
        <f t="shared" si="1"/>
        <v>2</v>
      </c>
    </row>
    <row r="24" spans="1:21" x14ac:dyDescent="0.2">
      <c r="A24" t="s">
        <v>26</v>
      </c>
      <c r="B24">
        <v>30</v>
      </c>
      <c r="C24" t="s">
        <v>129</v>
      </c>
      <c r="D24" t="s">
        <v>26</v>
      </c>
      <c r="G24">
        <v>5</v>
      </c>
      <c r="H24">
        <v>3</v>
      </c>
      <c r="I24">
        <v>1</v>
      </c>
      <c r="J24">
        <v>1</v>
      </c>
      <c r="K24">
        <v>3</v>
      </c>
      <c r="L24">
        <v>1</v>
      </c>
      <c r="N24">
        <v>4</v>
      </c>
      <c r="Q24">
        <v>1</v>
      </c>
      <c r="U24">
        <f t="shared" si="1"/>
        <v>19</v>
      </c>
    </row>
    <row r="25" spans="1:21" x14ac:dyDescent="0.2">
      <c r="A25" t="s">
        <v>27</v>
      </c>
      <c r="B25">
        <v>37</v>
      </c>
      <c r="C25" t="s">
        <v>131</v>
      </c>
      <c r="D25" t="s">
        <v>27</v>
      </c>
      <c r="E25">
        <v>1</v>
      </c>
      <c r="F25">
        <v>2</v>
      </c>
      <c r="G25">
        <v>6</v>
      </c>
      <c r="H25">
        <v>6</v>
      </c>
      <c r="I25">
        <v>4</v>
      </c>
      <c r="K25">
        <v>3</v>
      </c>
      <c r="M25">
        <v>2</v>
      </c>
      <c r="O25">
        <v>2</v>
      </c>
      <c r="P25">
        <v>5</v>
      </c>
      <c r="Q25">
        <v>1</v>
      </c>
      <c r="R25">
        <v>2</v>
      </c>
      <c r="S25">
        <v>3</v>
      </c>
      <c r="U25">
        <f t="shared" si="1"/>
        <v>37</v>
      </c>
    </row>
    <row r="26" spans="1:21" x14ac:dyDescent="0.2">
      <c r="A26" t="s">
        <v>28</v>
      </c>
      <c r="B26">
        <v>26</v>
      </c>
      <c r="C26" t="s">
        <v>144</v>
      </c>
      <c r="D26" t="s">
        <v>28</v>
      </c>
      <c r="E26">
        <v>3</v>
      </c>
      <c r="F26">
        <v>1</v>
      </c>
      <c r="H26">
        <v>2</v>
      </c>
      <c r="I26">
        <v>1</v>
      </c>
      <c r="M26">
        <v>1</v>
      </c>
      <c r="P26">
        <v>1</v>
      </c>
      <c r="U26">
        <f t="shared" si="1"/>
        <v>9</v>
      </c>
    </row>
    <row r="27" spans="1:21" x14ac:dyDescent="0.2">
      <c r="A27" t="s">
        <v>29</v>
      </c>
      <c r="B27">
        <v>29</v>
      </c>
      <c r="C27" t="s">
        <v>137</v>
      </c>
      <c r="D27" t="s">
        <v>29</v>
      </c>
      <c r="L27">
        <v>1</v>
      </c>
      <c r="O27">
        <v>1</v>
      </c>
      <c r="U27">
        <f t="shared" si="1"/>
        <v>2</v>
      </c>
    </row>
    <row r="28" spans="1:21" x14ac:dyDescent="0.2">
      <c r="A28" t="s">
        <v>346</v>
      </c>
      <c r="B28">
        <v>42</v>
      </c>
      <c r="C28" t="s">
        <v>140</v>
      </c>
      <c r="D28" t="s">
        <v>30</v>
      </c>
      <c r="G28">
        <v>1</v>
      </c>
      <c r="J28">
        <v>1</v>
      </c>
      <c r="M28">
        <v>1</v>
      </c>
      <c r="P28">
        <v>1</v>
      </c>
      <c r="U28">
        <f t="shared" si="1"/>
        <v>4</v>
      </c>
    </row>
    <row r="29" spans="1:21" x14ac:dyDescent="0.2">
      <c r="A29" t="s">
        <v>31</v>
      </c>
      <c r="B29">
        <v>31</v>
      </c>
      <c r="C29" t="s">
        <v>134</v>
      </c>
      <c r="D29" t="s">
        <v>31</v>
      </c>
      <c r="E29">
        <v>18</v>
      </c>
      <c r="F29">
        <v>1</v>
      </c>
      <c r="G29">
        <v>2</v>
      </c>
      <c r="J29">
        <v>1</v>
      </c>
      <c r="U29">
        <f t="shared" si="1"/>
        <v>22</v>
      </c>
    </row>
    <row r="30" spans="1:21" x14ac:dyDescent="0.2">
      <c r="A30" t="s">
        <v>354</v>
      </c>
      <c r="B30">
        <v>29</v>
      </c>
      <c r="C30" t="s">
        <v>137</v>
      </c>
      <c r="D30" t="s">
        <v>32</v>
      </c>
      <c r="E30">
        <v>1</v>
      </c>
      <c r="G30">
        <v>1</v>
      </c>
      <c r="I30">
        <v>1</v>
      </c>
      <c r="J30">
        <v>1</v>
      </c>
      <c r="U30">
        <f t="shared" si="1"/>
        <v>4</v>
      </c>
    </row>
    <row r="31" spans="1:21" x14ac:dyDescent="0.2">
      <c r="A31" t="s">
        <v>161</v>
      </c>
      <c r="B31">
        <v>43</v>
      </c>
      <c r="C31" t="s">
        <v>162</v>
      </c>
      <c r="D31" t="s">
        <v>33</v>
      </c>
      <c r="G31">
        <v>6</v>
      </c>
      <c r="H31">
        <v>1</v>
      </c>
      <c r="I31">
        <v>4</v>
      </c>
      <c r="J31">
        <v>3</v>
      </c>
      <c r="K31">
        <v>1</v>
      </c>
      <c r="L31">
        <v>2</v>
      </c>
      <c r="M31">
        <v>1</v>
      </c>
      <c r="N31">
        <v>2</v>
      </c>
      <c r="P31">
        <v>1</v>
      </c>
      <c r="U31">
        <f t="shared" si="1"/>
        <v>21</v>
      </c>
    </row>
    <row r="32" spans="1:21" x14ac:dyDescent="0.2">
      <c r="A32" t="s">
        <v>34</v>
      </c>
      <c r="B32">
        <v>44</v>
      </c>
      <c r="C32" t="s">
        <v>364</v>
      </c>
      <c r="D32" t="s">
        <v>34</v>
      </c>
      <c r="G32">
        <v>1</v>
      </c>
      <c r="S32">
        <v>1</v>
      </c>
      <c r="U32">
        <f t="shared" si="1"/>
        <v>2</v>
      </c>
    </row>
    <row r="33" spans="1:22" x14ac:dyDescent="0.2">
      <c r="A33" t="s">
        <v>326</v>
      </c>
      <c r="B33">
        <v>17</v>
      </c>
      <c r="C33" t="s">
        <v>323</v>
      </c>
      <c r="D33" t="s">
        <v>35</v>
      </c>
      <c r="L33">
        <v>1</v>
      </c>
      <c r="U33">
        <f t="shared" si="1"/>
        <v>1</v>
      </c>
    </row>
    <row r="34" spans="1:22" x14ac:dyDescent="0.2">
      <c r="A34" t="s">
        <v>36</v>
      </c>
      <c r="B34">
        <v>25</v>
      </c>
      <c r="C34" t="s">
        <v>154</v>
      </c>
      <c r="D34" t="s">
        <v>36</v>
      </c>
      <c r="O34">
        <v>1</v>
      </c>
      <c r="Q34">
        <v>1</v>
      </c>
      <c r="U34">
        <f t="shared" si="1"/>
        <v>2</v>
      </c>
    </row>
    <row r="35" spans="1:22" x14ac:dyDescent="0.2">
      <c r="A35" t="s">
        <v>287</v>
      </c>
      <c r="B35">
        <v>25</v>
      </c>
      <c r="C35" t="s">
        <v>154</v>
      </c>
      <c r="D35" t="s">
        <v>37</v>
      </c>
      <c r="O35">
        <v>1</v>
      </c>
      <c r="U35">
        <f t="shared" si="1"/>
        <v>1</v>
      </c>
    </row>
    <row r="36" spans="1:22" x14ac:dyDescent="0.2">
      <c r="A36" t="s">
        <v>415</v>
      </c>
      <c r="B36">
        <v>52</v>
      </c>
      <c r="C36" t="s">
        <v>176</v>
      </c>
      <c r="D36" t="s">
        <v>39</v>
      </c>
      <c r="E36">
        <v>6</v>
      </c>
      <c r="F36">
        <v>4</v>
      </c>
      <c r="G36">
        <v>1</v>
      </c>
      <c r="H36">
        <v>1</v>
      </c>
      <c r="J36">
        <v>3</v>
      </c>
      <c r="R36">
        <v>1</v>
      </c>
      <c r="U36">
        <f t="shared" si="1"/>
        <v>16</v>
      </c>
    </row>
    <row r="37" spans="1:22" x14ac:dyDescent="0.2">
      <c r="D37" t="s">
        <v>40</v>
      </c>
      <c r="E37">
        <f t="shared" ref="E37:S37" si="2">SUM(E5:E36)</f>
        <v>102</v>
      </c>
      <c r="F37">
        <f t="shared" si="2"/>
        <v>98</v>
      </c>
      <c r="G37">
        <f t="shared" si="2"/>
        <v>93</v>
      </c>
      <c r="H37">
        <f t="shared" si="2"/>
        <v>114</v>
      </c>
      <c r="I37">
        <f t="shared" si="2"/>
        <v>103</v>
      </c>
      <c r="J37">
        <f t="shared" si="2"/>
        <v>98</v>
      </c>
      <c r="K37">
        <f t="shared" si="2"/>
        <v>95</v>
      </c>
      <c r="L37">
        <f t="shared" si="2"/>
        <v>100</v>
      </c>
      <c r="M37">
        <f t="shared" si="2"/>
        <v>100</v>
      </c>
      <c r="N37">
        <f t="shared" si="2"/>
        <v>98</v>
      </c>
      <c r="O37">
        <f t="shared" si="2"/>
        <v>93</v>
      </c>
      <c r="P37">
        <f t="shared" si="2"/>
        <v>45</v>
      </c>
      <c r="Q37">
        <f t="shared" si="2"/>
        <v>106</v>
      </c>
      <c r="R37">
        <f t="shared" si="2"/>
        <v>101</v>
      </c>
      <c r="S37">
        <f t="shared" si="2"/>
        <v>101</v>
      </c>
      <c r="U37" t="s">
        <v>41</v>
      </c>
      <c r="V37">
        <f>SUM(E37:T37)</f>
        <v>1447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9CC8-3E25-461C-9DB2-0EA580A05BE8}">
  <dimension ref="A1:R72"/>
  <sheetViews>
    <sheetView topLeftCell="A19" workbookViewId="0">
      <selection activeCell="D41" sqref="D41"/>
    </sheetView>
  </sheetViews>
  <sheetFormatPr baseColWidth="10" defaultColWidth="8.83203125" defaultRowHeight="15" x14ac:dyDescent="0.2"/>
  <cols>
    <col min="1" max="1" width="35.6640625" bestFit="1" customWidth="1"/>
    <col min="2" max="2" width="17.5" bestFit="1" customWidth="1"/>
    <col min="3" max="3" width="35.6640625" bestFit="1" customWidth="1"/>
  </cols>
  <sheetData>
    <row r="1" spans="1:18" s="2" customFormat="1" x14ac:dyDescent="0.2">
      <c r="A1" s="2" t="s">
        <v>455</v>
      </c>
      <c r="B1" s="2" t="s">
        <v>456</v>
      </c>
      <c r="C1" s="2" t="s">
        <v>457</v>
      </c>
      <c r="D1" s="2">
        <v>9</v>
      </c>
      <c r="E1" s="2">
        <v>19</v>
      </c>
      <c r="F1" s="2">
        <v>29</v>
      </c>
      <c r="G1" s="2">
        <v>39</v>
      </c>
      <c r="H1" s="2">
        <v>50</v>
      </c>
      <c r="I1" s="2">
        <v>59</v>
      </c>
      <c r="J1" s="2">
        <v>69</v>
      </c>
      <c r="K1" s="2">
        <v>79</v>
      </c>
      <c r="L1" s="2">
        <v>89</v>
      </c>
      <c r="M1" s="2">
        <v>100</v>
      </c>
      <c r="N1" s="2">
        <v>109</v>
      </c>
      <c r="O1" s="2">
        <v>119</v>
      </c>
      <c r="P1" s="2">
        <v>129</v>
      </c>
      <c r="Q1" s="2">
        <v>139</v>
      </c>
      <c r="R1" s="2">
        <v>149</v>
      </c>
    </row>
    <row r="2" spans="1:18" x14ac:dyDescent="0.2">
      <c r="A2" t="s">
        <v>273</v>
      </c>
      <c r="B2">
        <v>4</v>
      </c>
      <c r="C2" t="s">
        <v>151</v>
      </c>
      <c r="K2">
        <v>1</v>
      </c>
    </row>
    <row r="3" spans="1:18" x14ac:dyDescent="0.2">
      <c r="A3" t="s">
        <v>9</v>
      </c>
      <c r="B3">
        <v>9</v>
      </c>
      <c r="C3" t="s">
        <v>88</v>
      </c>
      <c r="F3">
        <v>1</v>
      </c>
      <c r="G3">
        <v>1</v>
      </c>
      <c r="H3">
        <v>4</v>
      </c>
      <c r="I3">
        <v>19</v>
      </c>
      <c r="J3">
        <v>10</v>
      </c>
      <c r="K3">
        <v>1</v>
      </c>
      <c r="L3">
        <v>3</v>
      </c>
      <c r="M3">
        <v>11</v>
      </c>
      <c r="N3">
        <v>3</v>
      </c>
      <c r="O3">
        <v>1</v>
      </c>
      <c r="P3">
        <v>6</v>
      </c>
      <c r="Q3">
        <v>4</v>
      </c>
      <c r="R3">
        <v>4</v>
      </c>
    </row>
    <row r="4" spans="1:18" x14ac:dyDescent="0.2">
      <c r="A4" t="s">
        <v>5</v>
      </c>
      <c r="B4">
        <v>9</v>
      </c>
      <c r="C4" t="s">
        <v>88</v>
      </c>
      <c r="F4">
        <v>1</v>
      </c>
      <c r="G4">
        <v>10</v>
      </c>
      <c r="H4">
        <v>12</v>
      </c>
      <c r="I4">
        <v>16</v>
      </c>
      <c r="J4">
        <v>16</v>
      </c>
      <c r="K4">
        <v>5</v>
      </c>
      <c r="L4">
        <v>6</v>
      </c>
      <c r="M4">
        <v>19</v>
      </c>
      <c r="N4">
        <v>3</v>
      </c>
      <c r="O4">
        <v>2</v>
      </c>
      <c r="P4">
        <v>10</v>
      </c>
      <c r="Q4">
        <v>8</v>
      </c>
      <c r="R4">
        <v>6</v>
      </c>
    </row>
    <row r="5" spans="1:18" x14ac:dyDescent="0.2">
      <c r="A5" t="s">
        <v>106</v>
      </c>
      <c r="B5">
        <v>15</v>
      </c>
      <c r="C5" t="s">
        <v>102</v>
      </c>
      <c r="E5">
        <v>2</v>
      </c>
    </row>
    <row r="6" spans="1:18" x14ac:dyDescent="0.2">
      <c r="A6" t="s">
        <v>326</v>
      </c>
      <c r="B6">
        <v>17</v>
      </c>
      <c r="C6" t="s">
        <v>323</v>
      </c>
      <c r="K6">
        <v>1</v>
      </c>
    </row>
    <row r="7" spans="1:18" x14ac:dyDescent="0.2">
      <c r="A7" t="s">
        <v>150</v>
      </c>
      <c r="B7">
        <v>18</v>
      </c>
      <c r="C7" t="s">
        <v>91</v>
      </c>
      <c r="D7">
        <v>1</v>
      </c>
      <c r="F7">
        <v>10</v>
      </c>
      <c r="G7">
        <v>24</v>
      </c>
      <c r="H7">
        <v>24</v>
      </c>
      <c r="I7">
        <v>34</v>
      </c>
      <c r="J7">
        <v>23</v>
      </c>
      <c r="K7">
        <v>10</v>
      </c>
      <c r="L7">
        <v>13</v>
      </c>
      <c r="M7">
        <v>12</v>
      </c>
      <c r="N7">
        <v>14</v>
      </c>
      <c r="O7">
        <v>8</v>
      </c>
      <c r="P7">
        <v>20</v>
      </c>
      <c r="Q7">
        <v>21</v>
      </c>
      <c r="R7">
        <v>8</v>
      </c>
    </row>
    <row r="8" spans="1:18" x14ac:dyDescent="0.2">
      <c r="A8" t="s">
        <v>164</v>
      </c>
      <c r="B8">
        <v>22</v>
      </c>
      <c r="C8" t="s">
        <v>117</v>
      </c>
      <c r="I8">
        <v>1</v>
      </c>
      <c r="K8">
        <v>2</v>
      </c>
      <c r="L8">
        <v>3</v>
      </c>
      <c r="M8">
        <v>1</v>
      </c>
      <c r="O8">
        <v>2</v>
      </c>
      <c r="P8">
        <v>2</v>
      </c>
      <c r="Q8">
        <v>1</v>
      </c>
      <c r="R8">
        <v>4</v>
      </c>
    </row>
    <row r="9" spans="1:18" x14ac:dyDescent="0.2">
      <c r="A9" t="s">
        <v>280</v>
      </c>
      <c r="B9">
        <v>25</v>
      </c>
      <c r="C9" t="s">
        <v>154</v>
      </c>
      <c r="D9">
        <v>10</v>
      </c>
      <c r="E9">
        <v>3</v>
      </c>
      <c r="G9">
        <v>3</v>
      </c>
      <c r="H9">
        <v>4</v>
      </c>
      <c r="I9">
        <v>1</v>
      </c>
      <c r="J9">
        <v>8</v>
      </c>
      <c r="K9">
        <v>5</v>
      </c>
      <c r="L9">
        <v>3</v>
      </c>
      <c r="M9">
        <v>4</v>
      </c>
      <c r="N9">
        <v>3</v>
      </c>
      <c r="O9">
        <v>2</v>
      </c>
      <c r="P9">
        <v>3</v>
      </c>
      <c r="Q9">
        <v>3</v>
      </c>
      <c r="R9">
        <v>4</v>
      </c>
    </row>
    <row r="10" spans="1:18" x14ac:dyDescent="0.2">
      <c r="A10" t="s">
        <v>36</v>
      </c>
      <c r="B10">
        <v>25</v>
      </c>
      <c r="C10" t="s">
        <v>154</v>
      </c>
      <c r="N10">
        <v>1</v>
      </c>
      <c r="P10">
        <v>1</v>
      </c>
    </row>
    <row r="11" spans="1:18" x14ac:dyDescent="0.2">
      <c r="A11" t="s">
        <v>287</v>
      </c>
      <c r="B11">
        <v>25</v>
      </c>
      <c r="C11" t="s">
        <v>154</v>
      </c>
      <c r="N11">
        <v>1</v>
      </c>
    </row>
    <row r="12" spans="1:18" x14ac:dyDescent="0.2">
      <c r="A12" t="s">
        <v>28</v>
      </c>
      <c r="B12">
        <v>26</v>
      </c>
      <c r="C12" t="s">
        <v>144</v>
      </c>
      <c r="D12">
        <v>3</v>
      </c>
      <c r="E12">
        <v>1</v>
      </c>
      <c r="G12">
        <v>2</v>
      </c>
      <c r="H12">
        <v>1</v>
      </c>
      <c r="L12">
        <v>1</v>
      </c>
      <c r="O12">
        <v>1</v>
      </c>
    </row>
    <row r="13" spans="1:18" x14ac:dyDescent="0.2">
      <c r="A13" t="s">
        <v>222</v>
      </c>
      <c r="B13">
        <v>27</v>
      </c>
      <c r="C13" t="s">
        <v>148</v>
      </c>
      <c r="D13">
        <v>16</v>
      </c>
      <c r="E13">
        <v>36</v>
      </c>
      <c r="F13">
        <v>14</v>
      </c>
      <c r="G13">
        <v>11</v>
      </c>
      <c r="H13">
        <v>5</v>
      </c>
      <c r="I13">
        <v>3</v>
      </c>
      <c r="J13">
        <v>7</v>
      </c>
      <c r="K13">
        <v>21</v>
      </c>
      <c r="L13">
        <v>17</v>
      </c>
      <c r="M13">
        <v>13</v>
      </c>
      <c r="N13">
        <v>11</v>
      </c>
      <c r="O13">
        <v>2</v>
      </c>
      <c r="P13">
        <v>10</v>
      </c>
      <c r="Q13">
        <v>11</v>
      </c>
      <c r="R13">
        <v>18</v>
      </c>
    </row>
    <row r="14" spans="1:18" x14ac:dyDescent="0.2">
      <c r="A14" t="s">
        <v>29</v>
      </c>
      <c r="B14">
        <v>29</v>
      </c>
      <c r="C14" t="s">
        <v>137</v>
      </c>
      <c r="K14">
        <v>1</v>
      </c>
      <c r="N14">
        <v>1</v>
      </c>
    </row>
    <row r="15" spans="1:18" x14ac:dyDescent="0.2">
      <c r="A15" t="s">
        <v>354</v>
      </c>
      <c r="B15">
        <v>29</v>
      </c>
      <c r="C15" t="s">
        <v>137</v>
      </c>
      <c r="D15">
        <v>1</v>
      </c>
      <c r="F15">
        <v>1</v>
      </c>
      <c r="H15">
        <v>1</v>
      </c>
      <c r="I15">
        <v>1</v>
      </c>
    </row>
    <row r="16" spans="1:18" x14ac:dyDescent="0.2">
      <c r="A16" t="s">
        <v>327</v>
      </c>
      <c r="B16">
        <v>30</v>
      </c>
      <c r="C16" t="s">
        <v>129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N16">
        <v>1</v>
      </c>
      <c r="R16">
        <v>3</v>
      </c>
    </row>
    <row r="17" spans="1:18" x14ac:dyDescent="0.2">
      <c r="A17" t="s">
        <v>26</v>
      </c>
      <c r="B17">
        <v>30</v>
      </c>
      <c r="C17" t="s">
        <v>129</v>
      </c>
      <c r="F17">
        <v>5</v>
      </c>
      <c r="G17">
        <v>3</v>
      </c>
      <c r="H17">
        <v>1</v>
      </c>
      <c r="I17">
        <v>1</v>
      </c>
      <c r="J17">
        <v>3</v>
      </c>
      <c r="K17">
        <v>1</v>
      </c>
      <c r="M17">
        <v>4</v>
      </c>
      <c r="P17">
        <v>1</v>
      </c>
    </row>
    <row r="18" spans="1:18" x14ac:dyDescent="0.2">
      <c r="A18" t="s">
        <v>31</v>
      </c>
      <c r="B18">
        <v>31</v>
      </c>
      <c r="C18" t="s">
        <v>134</v>
      </c>
      <c r="D18">
        <v>18</v>
      </c>
      <c r="E18">
        <v>1</v>
      </c>
      <c r="F18">
        <v>2</v>
      </c>
      <c r="I18">
        <v>1</v>
      </c>
    </row>
    <row r="19" spans="1:18" x14ac:dyDescent="0.2">
      <c r="A19" t="s">
        <v>317</v>
      </c>
      <c r="B19">
        <v>33</v>
      </c>
      <c r="C19" t="s">
        <v>292</v>
      </c>
      <c r="L19">
        <v>1</v>
      </c>
      <c r="P19">
        <v>2</v>
      </c>
      <c r="Q19">
        <v>3</v>
      </c>
    </row>
    <row r="20" spans="1:18" x14ac:dyDescent="0.2">
      <c r="A20" t="s">
        <v>186</v>
      </c>
      <c r="B20">
        <v>35</v>
      </c>
      <c r="C20" t="s">
        <v>122</v>
      </c>
      <c r="E20">
        <v>1</v>
      </c>
      <c r="J20">
        <v>1</v>
      </c>
    </row>
    <row r="21" spans="1:18" x14ac:dyDescent="0.2">
      <c r="A21" t="s">
        <v>7</v>
      </c>
      <c r="B21">
        <v>36</v>
      </c>
      <c r="C21" t="s">
        <v>156</v>
      </c>
      <c r="D21">
        <v>13</v>
      </c>
      <c r="E21">
        <v>18</v>
      </c>
      <c r="F21">
        <v>11</v>
      </c>
      <c r="G21">
        <v>5</v>
      </c>
      <c r="H21">
        <v>12</v>
      </c>
      <c r="I21">
        <v>2</v>
      </c>
      <c r="J21">
        <v>1</v>
      </c>
      <c r="K21">
        <v>9</v>
      </c>
      <c r="L21">
        <v>16</v>
      </c>
      <c r="M21">
        <v>2</v>
      </c>
      <c r="N21">
        <v>21</v>
      </c>
      <c r="O21">
        <v>5</v>
      </c>
      <c r="P21">
        <v>31</v>
      </c>
      <c r="Q21">
        <v>12</v>
      </c>
      <c r="R21">
        <v>24</v>
      </c>
    </row>
    <row r="22" spans="1:18" x14ac:dyDescent="0.2">
      <c r="A22" t="s">
        <v>27</v>
      </c>
      <c r="B22">
        <v>37</v>
      </c>
      <c r="C22" t="s">
        <v>131</v>
      </c>
      <c r="D22">
        <v>1</v>
      </c>
      <c r="E22">
        <v>2</v>
      </c>
      <c r="F22">
        <v>6</v>
      </c>
      <c r="G22">
        <v>6</v>
      </c>
      <c r="H22">
        <v>4</v>
      </c>
      <c r="J22">
        <v>3</v>
      </c>
      <c r="L22">
        <v>2</v>
      </c>
      <c r="N22">
        <v>2</v>
      </c>
      <c r="O22">
        <v>5</v>
      </c>
      <c r="P22">
        <v>1</v>
      </c>
      <c r="Q22">
        <v>2</v>
      </c>
      <c r="R22">
        <v>3</v>
      </c>
    </row>
    <row r="23" spans="1:18" x14ac:dyDescent="0.2">
      <c r="A23" t="s">
        <v>311</v>
      </c>
      <c r="B23">
        <v>38</v>
      </c>
      <c r="C23" t="s">
        <v>171</v>
      </c>
      <c r="D23">
        <v>1</v>
      </c>
      <c r="G23">
        <v>1</v>
      </c>
      <c r="K23">
        <v>1</v>
      </c>
      <c r="O23">
        <v>1</v>
      </c>
      <c r="Q23">
        <v>1</v>
      </c>
    </row>
    <row r="24" spans="1:18" x14ac:dyDescent="0.2">
      <c r="A24" t="s">
        <v>25</v>
      </c>
      <c r="B24">
        <v>39</v>
      </c>
      <c r="C24" t="s">
        <v>333</v>
      </c>
      <c r="M24">
        <v>2</v>
      </c>
    </row>
    <row r="25" spans="1:18" x14ac:dyDescent="0.2">
      <c r="A25" t="s">
        <v>11</v>
      </c>
      <c r="B25">
        <v>40</v>
      </c>
      <c r="C25" t="s">
        <v>96</v>
      </c>
      <c r="G25">
        <v>4</v>
      </c>
      <c r="H25">
        <v>1</v>
      </c>
      <c r="L25">
        <v>1</v>
      </c>
      <c r="M25">
        <v>3</v>
      </c>
      <c r="N25">
        <v>1</v>
      </c>
      <c r="O25">
        <v>4</v>
      </c>
      <c r="P25">
        <v>1</v>
      </c>
      <c r="Q25">
        <v>1</v>
      </c>
      <c r="R25">
        <v>3</v>
      </c>
    </row>
    <row r="26" spans="1:18" x14ac:dyDescent="0.2">
      <c r="A26" t="s">
        <v>346</v>
      </c>
      <c r="B26">
        <v>42</v>
      </c>
      <c r="C26" t="s">
        <v>140</v>
      </c>
      <c r="F26">
        <v>1</v>
      </c>
      <c r="I26">
        <v>1</v>
      </c>
      <c r="L26">
        <v>1</v>
      </c>
      <c r="O26">
        <v>1</v>
      </c>
    </row>
    <row r="27" spans="1:18" x14ac:dyDescent="0.2">
      <c r="A27" t="s">
        <v>161</v>
      </c>
      <c r="B27">
        <v>43</v>
      </c>
      <c r="C27" t="s">
        <v>162</v>
      </c>
      <c r="F27">
        <v>6</v>
      </c>
      <c r="G27">
        <v>1</v>
      </c>
      <c r="H27">
        <v>4</v>
      </c>
      <c r="I27">
        <v>3</v>
      </c>
      <c r="J27">
        <v>1</v>
      </c>
      <c r="K27">
        <v>2</v>
      </c>
      <c r="L27">
        <v>1</v>
      </c>
      <c r="M27">
        <v>2</v>
      </c>
      <c r="O27">
        <v>1</v>
      </c>
    </row>
    <row r="28" spans="1:18" x14ac:dyDescent="0.2">
      <c r="A28" t="s">
        <v>34</v>
      </c>
      <c r="B28">
        <v>44</v>
      </c>
      <c r="C28" t="s">
        <v>364</v>
      </c>
      <c r="F28">
        <v>1</v>
      </c>
      <c r="R28">
        <v>1</v>
      </c>
    </row>
    <row r="29" spans="1:18" x14ac:dyDescent="0.2">
      <c r="A29" t="s">
        <v>112</v>
      </c>
      <c r="B29">
        <v>46</v>
      </c>
      <c r="C29" t="s">
        <v>113</v>
      </c>
      <c r="D29">
        <v>27</v>
      </c>
      <c r="E29">
        <v>20</v>
      </c>
      <c r="F29">
        <v>32</v>
      </c>
      <c r="G29">
        <v>23</v>
      </c>
      <c r="H29">
        <v>18</v>
      </c>
      <c r="J29">
        <v>4</v>
      </c>
      <c r="K29">
        <v>31</v>
      </c>
      <c r="L29">
        <v>23</v>
      </c>
      <c r="M29">
        <v>12</v>
      </c>
      <c r="N29">
        <v>16</v>
      </c>
      <c r="O29">
        <v>4</v>
      </c>
      <c r="P29">
        <v>11</v>
      </c>
      <c r="Q29">
        <v>8</v>
      </c>
      <c r="R29">
        <v>11</v>
      </c>
    </row>
    <row r="30" spans="1:18" x14ac:dyDescent="0.2">
      <c r="A30" t="s">
        <v>4</v>
      </c>
      <c r="B30">
        <v>47</v>
      </c>
      <c r="C30" t="s">
        <v>89</v>
      </c>
      <c r="D30">
        <v>5</v>
      </c>
      <c r="E30">
        <v>8</v>
      </c>
      <c r="G30">
        <v>14</v>
      </c>
      <c r="H30">
        <v>10</v>
      </c>
      <c r="I30">
        <v>10</v>
      </c>
      <c r="J30">
        <v>17</v>
      </c>
      <c r="K30">
        <v>8</v>
      </c>
      <c r="L30">
        <v>8</v>
      </c>
      <c r="M30">
        <v>13</v>
      </c>
      <c r="N30">
        <v>14</v>
      </c>
      <c r="O30">
        <v>4</v>
      </c>
      <c r="P30">
        <v>7</v>
      </c>
      <c r="Q30">
        <v>24</v>
      </c>
      <c r="R30">
        <v>12</v>
      </c>
    </row>
    <row r="31" spans="1:18" x14ac:dyDescent="0.2">
      <c r="A31" t="s">
        <v>223</v>
      </c>
      <c r="B31">
        <v>49</v>
      </c>
      <c r="C31" t="s">
        <v>216</v>
      </c>
      <c r="E31">
        <v>1</v>
      </c>
    </row>
    <row r="32" spans="1:18" x14ac:dyDescent="0.2">
      <c r="A32" t="s">
        <v>208</v>
      </c>
      <c r="B32">
        <v>50</v>
      </c>
      <c r="C32" t="s">
        <v>125</v>
      </c>
      <c r="G32">
        <v>4</v>
      </c>
      <c r="H32">
        <v>1</v>
      </c>
      <c r="I32">
        <v>1</v>
      </c>
      <c r="N32">
        <v>1</v>
      </c>
      <c r="O32">
        <v>2</v>
      </c>
      <c r="Q32">
        <v>1</v>
      </c>
    </row>
    <row r="33" spans="1:18" x14ac:dyDescent="0.2">
      <c r="A33" t="s">
        <v>415</v>
      </c>
      <c r="B33">
        <v>52</v>
      </c>
      <c r="C33" t="s">
        <v>176</v>
      </c>
      <c r="D33">
        <v>6</v>
      </c>
      <c r="E33">
        <v>4</v>
      </c>
      <c r="F33">
        <v>1</v>
      </c>
      <c r="G33">
        <v>1</v>
      </c>
      <c r="I33">
        <v>3</v>
      </c>
      <c r="Q33">
        <v>1</v>
      </c>
    </row>
    <row r="35" spans="1:18" x14ac:dyDescent="0.2">
      <c r="C35" t="s">
        <v>40</v>
      </c>
      <c r="D35">
        <f>SUM(D2:D33)</f>
        <v>102</v>
      </c>
      <c r="E35">
        <f t="shared" ref="E35:R35" si="0">SUM(E2:E33)</f>
        <v>98</v>
      </c>
      <c r="F35">
        <f t="shared" si="0"/>
        <v>93</v>
      </c>
      <c r="G35">
        <f t="shared" si="0"/>
        <v>114</v>
      </c>
      <c r="H35">
        <f t="shared" si="0"/>
        <v>103</v>
      </c>
      <c r="I35">
        <f t="shared" si="0"/>
        <v>98</v>
      </c>
      <c r="J35">
        <f t="shared" si="0"/>
        <v>95</v>
      </c>
      <c r="K35">
        <f t="shared" si="0"/>
        <v>100</v>
      </c>
      <c r="L35">
        <f t="shared" si="0"/>
        <v>100</v>
      </c>
      <c r="M35">
        <f t="shared" si="0"/>
        <v>98</v>
      </c>
      <c r="N35">
        <f t="shared" si="0"/>
        <v>93</v>
      </c>
      <c r="O35">
        <f t="shared" si="0"/>
        <v>45</v>
      </c>
      <c r="P35">
        <f t="shared" si="0"/>
        <v>106</v>
      </c>
      <c r="Q35">
        <f t="shared" si="0"/>
        <v>101</v>
      </c>
      <c r="R35">
        <f t="shared" si="0"/>
        <v>101</v>
      </c>
    </row>
    <row r="38" spans="1:18" x14ac:dyDescent="0.2">
      <c r="C38" s="2" t="s">
        <v>458</v>
      </c>
      <c r="D38" s="2">
        <v>9</v>
      </c>
      <c r="E38" s="2">
        <v>19</v>
      </c>
      <c r="F38" s="2">
        <v>29</v>
      </c>
      <c r="G38" s="2">
        <v>39</v>
      </c>
      <c r="H38" s="2">
        <v>50</v>
      </c>
      <c r="I38" s="2">
        <v>59</v>
      </c>
      <c r="J38" s="2">
        <v>69</v>
      </c>
      <c r="K38" s="2">
        <v>79</v>
      </c>
      <c r="L38" s="2">
        <v>89</v>
      </c>
      <c r="M38" s="2">
        <v>100</v>
      </c>
      <c r="N38" s="2">
        <v>109</v>
      </c>
      <c r="O38" s="2">
        <v>119</v>
      </c>
      <c r="P38" s="2">
        <v>129</v>
      </c>
      <c r="Q38" s="2">
        <v>139</v>
      </c>
      <c r="R38" s="2">
        <v>149</v>
      </c>
    </row>
    <row r="39" spans="1:18" x14ac:dyDescent="0.2">
      <c r="C39" t="s">
        <v>273</v>
      </c>
      <c r="D39">
        <f>D2/D$35*100</f>
        <v>0</v>
      </c>
      <c r="E39">
        <f t="shared" ref="E39:R39" si="1">E2/E$35*100</f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>K2/K$35*100</f>
        <v>1</v>
      </c>
      <c r="L39">
        <f t="shared" si="1"/>
        <v>0</v>
      </c>
      <c r="M39">
        <f t="shared" si="1"/>
        <v>0</v>
      </c>
      <c r="N39">
        <f t="shared" si="1"/>
        <v>0</v>
      </c>
      <c r="O39">
        <f t="shared" si="1"/>
        <v>0</v>
      </c>
      <c r="P39">
        <f t="shared" si="1"/>
        <v>0</v>
      </c>
      <c r="Q39">
        <f t="shared" si="1"/>
        <v>0</v>
      </c>
      <c r="R39">
        <f t="shared" si="1"/>
        <v>0</v>
      </c>
    </row>
    <row r="40" spans="1:18" x14ac:dyDescent="0.2">
      <c r="C40" t="s">
        <v>9</v>
      </c>
      <c r="D40">
        <f t="shared" ref="D40:R40" si="2">D3/D$35*100</f>
        <v>0</v>
      </c>
      <c r="E40">
        <f t="shared" si="2"/>
        <v>0</v>
      </c>
      <c r="F40">
        <f t="shared" si="2"/>
        <v>1.0752688172043012</v>
      </c>
      <c r="G40">
        <f t="shared" si="2"/>
        <v>0.8771929824561403</v>
      </c>
      <c r="H40">
        <f t="shared" si="2"/>
        <v>3.8834951456310676</v>
      </c>
      <c r="I40">
        <f t="shared" si="2"/>
        <v>19.387755102040817</v>
      </c>
      <c r="J40">
        <f t="shared" si="2"/>
        <v>10.526315789473683</v>
      </c>
      <c r="K40">
        <f t="shared" si="2"/>
        <v>1</v>
      </c>
      <c r="L40">
        <f t="shared" si="2"/>
        <v>3</v>
      </c>
      <c r="M40">
        <f t="shared" si="2"/>
        <v>11.224489795918368</v>
      </c>
      <c r="N40">
        <f t="shared" si="2"/>
        <v>3.225806451612903</v>
      </c>
      <c r="O40">
        <f t="shared" si="2"/>
        <v>2.2222222222222223</v>
      </c>
      <c r="P40">
        <f t="shared" si="2"/>
        <v>5.6603773584905666</v>
      </c>
      <c r="Q40">
        <f t="shared" si="2"/>
        <v>3.9603960396039604</v>
      </c>
      <c r="R40">
        <f t="shared" si="2"/>
        <v>3.9603960396039604</v>
      </c>
    </row>
    <row r="41" spans="1:18" x14ac:dyDescent="0.2">
      <c r="C41" t="s">
        <v>5</v>
      </c>
      <c r="D41">
        <f t="shared" ref="D41:R41" si="3">D4/D$35*100</f>
        <v>0</v>
      </c>
      <c r="E41">
        <f t="shared" si="3"/>
        <v>0</v>
      </c>
      <c r="F41">
        <f t="shared" si="3"/>
        <v>1.0752688172043012</v>
      </c>
      <c r="G41">
        <f t="shared" si="3"/>
        <v>8.7719298245614024</v>
      </c>
      <c r="H41">
        <f t="shared" si="3"/>
        <v>11.650485436893204</v>
      </c>
      <c r="I41">
        <f t="shared" si="3"/>
        <v>16.326530612244898</v>
      </c>
      <c r="J41">
        <f t="shared" si="3"/>
        <v>16.842105263157894</v>
      </c>
      <c r="K41">
        <f t="shared" si="3"/>
        <v>5</v>
      </c>
      <c r="L41">
        <f t="shared" si="3"/>
        <v>6</v>
      </c>
      <c r="M41">
        <f t="shared" si="3"/>
        <v>19.387755102040817</v>
      </c>
      <c r="N41">
        <f t="shared" si="3"/>
        <v>3.225806451612903</v>
      </c>
      <c r="O41">
        <f t="shared" si="3"/>
        <v>4.4444444444444446</v>
      </c>
      <c r="P41">
        <f t="shared" si="3"/>
        <v>9.433962264150944</v>
      </c>
      <c r="Q41">
        <f t="shared" si="3"/>
        <v>7.9207920792079207</v>
      </c>
      <c r="R41">
        <f t="shared" si="3"/>
        <v>5.9405940594059405</v>
      </c>
    </row>
    <row r="42" spans="1:18" x14ac:dyDescent="0.2">
      <c r="C42" t="s">
        <v>106</v>
      </c>
      <c r="D42">
        <f t="shared" ref="D42:R42" si="4">D5/D$35*100</f>
        <v>0</v>
      </c>
      <c r="E42">
        <f t="shared" si="4"/>
        <v>2.0408163265306123</v>
      </c>
      <c r="F42">
        <f t="shared" si="4"/>
        <v>0</v>
      </c>
      <c r="G42">
        <f t="shared" si="4"/>
        <v>0</v>
      </c>
      <c r="H42">
        <f t="shared" si="4"/>
        <v>0</v>
      </c>
      <c r="I42">
        <f t="shared" si="4"/>
        <v>0</v>
      </c>
      <c r="J42">
        <f t="shared" si="4"/>
        <v>0</v>
      </c>
      <c r="K42">
        <f t="shared" si="4"/>
        <v>0</v>
      </c>
      <c r="L42">
        <f t="shared" si="4"/>
        <v>0</v>
      </c>
      <c r="M42">
        <f t="shared" si="4"/>
        <v>0</v>
      </c>
      <c r="N42">
        <f t="shared" si="4"/>
        <v>0</v>
      </c>
      <c r="O42">
        <f t="shared" si="4"/>
        <v>0</v>
      </c>
      <c r="P42">
        <f t="shared" si="4"/>
        <v>0</v>
      </c>
      <c r="Q42">
        <f t="shared" si="4"/>
        <v>0</v>
      </c>
      <c r="R42">
        <f t="shared" si="4"/>
        <v>0</v>
      </c>
    </row>
    <row r="43" spans="1:18" x14ac:dyDescent="0.2">
      <c r="C43" t="s">
        <v>326</v>
      </c>
      <c r="D43">
        <f t="shared" ref="D43:R43" si="5">D6/D$35*100</f>
        <v>0</v>
      </c>
      <c r="E43">
        <f t="shared" si="5"/>
        <v>0</v>
      </c>
      <c r="F43">
        <f t="shared" si="5"/>
        <v>0</v>
      </c>
      <c r="G43">
        <f t="shared" si="5"/>
        <v>0</v>
      </c>
      <c r="H43">
        <f t="shared" si="5"/>
        <v>0</v>
      </c>
      <c r="I43">
        <f t="shared" si="5"/>
        <v>0</v>
      </c>
      <c r="J43">
        <f t="shared" si="5"/>
        <v>0</v>
      </c>
      <c r="K43">
        <f t="shared" si="5"/>
        <v>1</v>
      </c>
      <c r="L43">
        <f t="shared" si="5"/>
        <v>0</v>
      </c>
      <c r="M43">
        <f t="shared" si="5"/>
        <v>0</v>
      </c>
      <c r="N43">
        <f t="shared" si="5"/>
        <v>0</v>
      </c>
      <c r="O43">
        <f t="shared" si="5"/>
        <v>0</v>
      </c>
      <c r="P43">
        <f t="shared" si="5"/>
        <v>0</v>
      </c>
      <c r="Q43">
        <f t="shared" si="5"/>
        <v>0</v>
      </c>
      <c r="R43">
        <f t="shared" si="5"/>
        <v>0</v>
      </c>
    </row>
    <row r="44" spans="1:18" x14ac:dyDescent="0.2">
      <c r="C44" t="s">
        <v>150</v>
      </c>
      <c r="D44">
        <f t="shared" ref="D44:R44" si="6">D7/D$35*100</f>
        <v>0.98039215686274506</v>
      </c>
      <c r="E44">
        <f t="shared" si="6"/>
        <v>0</v>
      </c>
      <c r="F44">
        <f t="shared" si="6"/>
        <v>10.75268817204301</v>
      </c>
      <c r="G44">
        <f t="shared" si="6"/>
        <v>21.052631578947366</v>
      </c>
      <c r="H44">
        <f t="shared" si="6"/>
        <v>23.300970873786408</v>
      </c>
      <c r="I44">
        <f t="shared" si="6"/>
        <v>34.693877551020407</v>
      </c>
      <c r="J44">
        <f t="shared" si="6"/>
        <v>24.210526315789473</v>
      </c>
      <c r="K44">
        <f t="shared" si="6"/>
        <v>10</v>
      </c>
      <c r="L44">
        <f t="shared" si="6"/>
        <v>13</v>
      </c>
      <c r="M44">
        <f t="shared" si="6"/>
        <v>12.244897959183673</v>
      </c>
      <c r="N44">
        <f t="shared" si="6"/>
        <v>15.053763440860216</v>
      </c>
      <c r="O44">
        <f t="shared" si="6"/>
        <v>17.777777777777779</v>
      </c>
      <c r="P44">
        <f t="shared" si="6"/>
        <v>18.867924528301888</v>
      </c>
      <c r="Q44">
        <f t="shared" si="6"/>
        <v>20.792079207920793</v>
      </c>
      <c r="R44">
        <f t="shared" si="6"/>
        <v>7.9207920792079207</v>
      </c>
    </row>
    <row r="45" spans="1:18" x14ac:dyDescent="0.2">
      <c r="C45" t="s">
        <v>164</v>
      </c>
      <c r="D45">
        <f t="shared" ref="D45:R45" si="7">D8/D$35*100</f>
        <v>0</v>
      </c>
      <c r="E45">
        <f t="shared" si="7"/>
        <v>0</v>
      </c>
      <c r="F45">
        <f t="shared" si="7"/>
        <v>0</v>
      </c>
      <c r="G45">
        <f t="shared" si="7"/>
        <v>0</v>
      </c>
      <c r="H45">
        <f t="shared" si="7"/>
        <v>0</v>
      </c>
      <c r="I45">
        <f t="shared" si="7"/>
        <v>1.0204081632653061</v>
      </c>
      <c r="J45">
        <f t="shared" si="7"/>
        <v>0</v>
      </c>
      <c r="K45">
        <f t="shared" si="7"/>
        <v>2</v>
      </c>
      <c r="L45">
        <f t="shared" si="7"/>
        <v>3</v>
      </c>
      <c r="M45">
        <f t="shared" si="7"/>
        <v>1.0204081632653061</v>
      </c>
      <c r="N45">
        <f t="shared" si="7"/>
        <v>0</v>
      </c>
      <c r="O45">
        <f t="shared" si="7"/>
        <v>4.4444444444444446</v>
      </c>
      <c r="P45">
        <f t="shared" si="7"/>
        <v>1.8867924528301887</v>
      </c>
      <c r="Q45">
        <f t="shared" si="7"/>
        <v>0.99009900990099009</v>
      </c>
      <c r="R45">
        <f t="shared" si="7"/>
        <v>3.9603960396039604</v>
      </c>
    </row>
    <row r="46" spans="1:18" x14ac:dyDescent="0.2">
      <c r="C46" t="s">
        <v>280</v>
      </c>
      <c r="D46">
        <f t="shared" ref="D46:R46" si="8">D9/D$35*100</f>
        <v>9.8039215686274517</v>
      </c>
      <c r="E46">
        <f t="shared" si="8"/>
        <v>3.0612244897959182</v>
      </c>
      <c r="F46">
        <f t="shared" si="8"/>
        <v>0</v>
      </c>
      <c r="G46">
        <f t="shared" si="8"/>
        <v>2.6315789473684208</v>
      </c>
      <c r="H46">
        <f t="shared" si="8"/>
        <v>3.8834951456310676</v>
      </c>
      <c r="I46">
        <f t="shared" si="8"/>
        <v>1.0204081632653061</v>
      </c>
      <c r="J46">
        <f t="shared" si="8"/>
        <v>8.4210526315789469</v>
      </c>
      <c r="K46">
        <f t="shared" si="8"/>
        <v>5</v>
      </c>
      <c r="L46">
        <f t="shared" si="8"/>
        <v>3</v>
      </c>
      <c r="M46">
        <f t="shared" si="8"/>
        <v>4.0816326530612246</v>
      </c>
      <c r="N46">
        <f t="shared" si="8"/>
        <v>3.225806451612903</v>
      </c>
      <c r="O46">
        <f t="shared" si="8"/>
        <v>4.4444444444444446</v>
      </c>
      <c r="P46">
        <f t="shared" si="8"/>
        <v>2.8301886792452833</v>
      </c>
      <c r="Q46">
        <f t="shared" si="8"/>
        <v>2.9702970297029703</v>
      </c>
      <c r="R46">
        <f t="shared" si="8"/>
        <v>3.9603960396039604</v>
      </c>
    </row>
    <row r="47" spans="1:18" x14ac:dyDescent="0.2">
      <c r="C47" t="s">
        <v>36</v>
      </c>
      <c r="D47">
        <f t="shared" ref="D47:R47" si="9">D10/D$35*100</f>
        <v>0</v>
      </c>
      <c r="E47">
        <f t="shared" si="9"/>
        <v>0</v>
      </c>
      <c r="F47">
        <f t="shared" si="9"/>
        <v>0</v>
      </c>
      <c r="G47">
        <f t="shared" si="9"/>
        <v>0</v>
      </c>
      <c r="H47">
        <f t="shared" si="9"/>
        <v>0</v>
      </c>
      <c r="I47">
        <f t="shared" si="9"/>
        <v>0</v>
      </c>
      <c r="J47">
        <f t="shared" si="9"/>
        <v>0</v>
      </c>
      <c r="K47">
        <f t="shared" si="9"/>
        <v>0</v>
      </c>
      <c r="L47">
        <f t="shared" si="9"/>
        <v>0</v>
      </c>
      <c r="M47">
        <f t="shared" si="9"/>
        <v>0</v>
      </c>
      <c r="N47">
        <f t="shared" si="9"/>
        <v>1.0752688172043012</v>
      </c>
      <c r="O47">
        <f t="shared" si="9"/>
        <v>0</v>
      </c>
      <c r="P47">
        <f t="shared" si="9"/>
        <v>0.94339622641509435</v>
      </c>
      <c r="Q47">
        <f t="shared" si="9"/>
        <v>0</v>
      </c>
      <c r="R47">
        <f t="shared" si="9"/>
        <v>0</v>
      </c>
    </row>
    <row r="48" spans="1:18" x14ac:dyDescent="0.2">
      <c r="C48" t="s">
        <v>287</v>
      </c>
      <c r="D48">
        <f t="shared" ref="D48:R48" si="10">D11/D$35*100</f>
        <v>0</v>
      </c>
      <c r="E48">
        <f t="shared" si="10"/>
        <v>0</v>
      </c>
      <c r="F48">
        <f t="shared" si="10"/>
        <v>0</v>
      </c>
      <c r="G48">
        <f t="shared" si="10"/>
        <v>0</v>
      </c>
      <c r="H48">
        <f t="shared" si="10"/>
        <v>0</v>
      </c>
      <c r="I48">
        <f t="shared" si="10"/>
        <v>0</v>
      </c>
      <c r="J48">
        <f t="shared" si="10"/>
        <v>0</v>
      </c>
      <c r="K48">
        <f t="shared" si="10"/>
        <v>0</v>
      </c>
      <c r="L48">
        <f t="shared" si="10"/>
        <v>0</v>
      </c>
      <c r="M48">
        <f t="shared" si="10"/>
        <v>0</v>
      </c>
      <c r="N48">
        <f t="shared" si="10"/>
        <v>1.0752688172043012</v>
      </c>
      <c r="O48">
        <f t="shared" si="10"/>
        <v>0</v>
      </c>
      <c r="P48">
        <f t="shared" si="10"/>
        <v>0</v>
      </c>
      <c r="Q48">
        <f t="shared" si="10"/>
        <v>0</v>
      </c>
      <c r="R48">
        <f t="shared" si="10"/>
        <v>0</v>
      </c>
    </row>
    <row r="49" spans="3:18" x14ac:dyDescent="0.2">
      <c r="C49" t="s">
        <v>28</v>
      </c>
      <c r="D49">
        <f t="shared" ref="D49:R49" si="11">D12/D$35*100</f>
        <v>2.9411764705882351</v>
      </c>
      <c r="E49">
        <f t="shared" si="11"/>
        <v>1.0204081632653061</v>
      </c>
      <c r="F49">
        <f t="shared" si="11"/>
        <v>0</v>
      </c>
      <c r="G49">
        <f t="shared" si="11"/>
        <v>1.7543859649122806</v>
      </c>
      <c r="H49">
        <f t="shared" si="11"/>
        <v>0.97087378640776689</v>
      </c>
      <c r="I49">
        <f t="shared" si="11"/>
        <v>0</v>
      </c>
      <c r="J49">
        <f t="shared" si="11"/>
        <v>0</v>
      </c>
      <c r="K49">
        <f t="shared" si="11"/>
        <v>0</v>
      </c>
      <c r="L49">
        <f t="shared" si="11"/>
        <v>1</v>
      </c>
      <c r="M49">
        <f t="shared" si="11"/>
        <v>0</v>
      </c>
      <c r="N49">
        <f t="shared" si="11"/>
        <v>0</v>
      </c>
      <c r="O49">
        <f t="shared" si="11"/>
        <v>2.2222222222222223</v>
      </c>
      <c r="P49">
        <f t="shared" si="11"/>
        <v>0</v>
      </c>
      <c r="Q49">
        <f t="shared" si="11"/>
        <v>0</v>
      </c>
      <c r="R49">
        <f t="shared" si="11"/>
        <v>0</v>
      </c>
    </row>
    <row r="50" spans="3:18" x14ac:dyDescent="0.2">
      <c r="C50" t="s">
        <v>222</v>
      </c>
      <c r="D50">
        <f t="shared" ref="D50:R50" si="12">D13/D$35*100</f>
        <v>15.686274509803921</v>
      </c>
      <c r="E50">
        <f t="shared" si="12"/>
        <v>36.734693877551024</v>
      </c>
      <c r="F50">
        <f t="shared" si="12"/>
        <v>15.053763440860216</v>
      </c>
      <c r="G50">
        <f t="shared" si="12"/>
        <v>9.6491228070175428</v>
      </c>
      <c r="H50">
        <f t="shared" si="12"/>
        <v>4.8543689320388346</v>
      </c>
      <c r="I50">
        <f t="shared" si="12"/>
        <v>3.0612244897959182</v>
      </c>
      <c r="J50">
        <f t="shared" si="12"/>
        <v>7.3684210526315779</v>
      </c>
      <c r="K50">
        <f t="shared" si="12"/>
        <v>21</v>
      </c>
      <c r="L50">
        <f t="shared" si="12"/>
        <v>17</v>
      </c>
      <c r="M50">
        <f t="shared" si="12"/>
        <v>13.26530612244898</v>
      </c>
      <c r="N50">
        <f t="shared" si="12"/>
        <v>11.827956989247312</v>
      </c>
      <c r="O50">
        <f t="shared" si="12"/>
        <v>4.4444444444444446</v>
      </c>
      <c r="P50">
        <f t="shared" si="12"/>
        <v>9.433962264150944</v>
      </c>
      <c r="Q50">
        <f t="shared" si="12"/>
        <v>10.891089108910892</v>
      </c>
      <c r="R50">
        <f t="shared" si="12"/>
        <v>17.82178217821782</v>
      </c>
    </row>
    <row r="51" spans="3:18" x14ac:dyDescent="0.2">
      <c r="C51" t="s">
        <v>29</v>
      </c>
      <c r="D51">
        <f t="shared" ref="D51:R51" si="13">D14/D$35*100</f>
        <v>0</v>
      </c>
      <c r="E51">
        <f t="shared" si="13"/>
        <v>0</v>
      </c>
      <c r="F51">
        <f t="shared" si="13"/>
        <v>0</v>
      </c>
      <c r="G51">
        <f t="shared" si="13"/>
        <v>0</v>
      </c>
      <c r="H51">
        <f t="shared" si="13"/>
        <v>0</v>
      </c>
      <c r="I51">
        <f t="shared" si="13"/>
        <v>0</v>
      </c>
      <c r="J51">
        <f t="shared" si="13"/>
        <v>0</v>
      </c>
      <c r="K51">
        <f t="shared" si="13"/>
        <v>1</v>
      </c>
      <c r="L51">
        <f t="shared" si="13"/>
        <v>0</v>
      </c>
      <c r="M51">
        <f t="shared" si="13"/>
        <v>0</v>
      </c>
      <c r="N51">
        <f t="shared" si="13"/>
        <v>1.0752688172043012</v>
      </c>
      <c r="O51">
        <f t="shared" si="13"/>
        <v>0</v>
      </c>
      <c r="P51">
        <f t="shared" si="13"/>
        <v>0</v>
      </c>
      <c r="Q51">
        <f t="shared" si="13"/>
        <v>0</v>
      </c>
      <c r="R51">
        <f t="shared" si="13"/>
        <v>0</v>
      </c>
    </row>
    <row r="52" spans="3:18" x14ac:dyDescent="0.2">
      <c r="C52" t="s">
        <v>354</v>
      </c>
      <c r="D52">
        <f t="shared" ref="D52:R52" si="14">D15/D$35*100</f>
        <v>0.98039215686274506</v>
      </c>
      <c r="E52">
        <f t="shared" si="14"/>
        <v>0</v>
      </c>
      <c r="F52">
        <f t="shared" si="14"/>
        <v>1.0752688172043012</v>
      </c>
      <c r="G52">
        <f t="shared" si="14"/>
        <v>0</v>
      </c>
      <c r="H52">
        <f t="shared" si="14"/>
        <v>0.97087378640776689</v>
      </c>
      <c r="I52">
        <f t="shared" si="14"/>
        <v>1.0204081632653061</v>
      </c>
      <c r="J52">
        <f t="shared" si="14"/>
        <v>0</v>
      </c>
      <c r="K52">
        <f t="shared" si="14"/>
        <v>0</v>
      </c>
      <c r="L52">
        <f t="shared" si="14"/>
        <v>0</v>
      </c>
      <c r="M52">
        <f t="shared" si="14"/>
        <v>0</v>
      </c>
      <c r="N52">
        <f t="shared" si="14"/>
        <v>0</v>
      </c>
      <c r="O52">
        <f t="shared" si="14"/>
        <v>0</v>
      </c>
      <c r="P52">
        <f t="shared" si="14"/>
        <v>0</v>
      </c>
      <c r="Q52">
        <f t="shared" si="14"/>
        <v>0</v>
      </c>
      <c r="R52">
        <f t="shared" si="14"/>
        <v>0</v>
      </c>
    </row>
    <row r="53" spans="3:18" x14ac:dyDescent="0.2">
      <c r="C53" t="s">
        <v>327</v>
      </c>
      <c r="D53">
        <f t="shared" ref="D53:R53" si="15">D16/D$35*100</f>
        <v>0</v>
      </c>
      <c r="E53">
        <f t="shared" si="15"/>
        <v>1.0204081632653061</v>
      </c>
      <c r="F53">
        <f t="shared" si="15"/>
        <v>1.0752688172043012</v>
      </c>
      <c r="G53">
        <f t="shared" si="15"/>
        <v>0.8771929824561403</v>
      </c>
      <c r="H53">
        <f t="shared" si="15"/>
        <v>0.97087378640776689</v>
      </c>
      <c r="I53">
        <f t="shared" si="15"/>
        <v>1.0204081632653061</v>
      </c>
      <c r="J53">
        <f t="shared" si="15"/>
        <v>1.0526315789473684</v>
      </c>
      <c r="K53">
        <f t="shared" si="15"/>
        <v>1</v>
      </c>
      <c r="L53">
        <f t="shared" si="15"/>
        <v>1</v>
      </c>
      <c r="M53">
        <f t="shared" si="15"/>
        <v>0</v>
      </c>
      <c r="N53">
        <f t="shared" si="15"/>
        <v>1.0752688172043012</v>
      </c>
      <c r="O53">
        <f t="shared" si="15"/>
        <v>0</v>
      </c>
      <c r="P53">
        <f t="shared" si="15"/>
        <v>0</v>
      </c>
      <c r="Q53">
        <f t="shared" si="15"/>
        <v>0</v>
      </c>
      <c r="R53">
        <f t="shared" si="15"/>
        <v>2.9702970297029703</v>
      </c>
    </row>
    <row r="54" spans="3:18" x14ac:dyDescent="0.2">
      <c r="C54" t="s">
        <v>26</v>
      </c>
      <c r="D54">
        <f t="shared" ref="D54:R54" si="16">D17/D$35*100</f>
        <v>0</v>
      </c>
      <c r="E54">
        <f t="shared" si="16"/>
        <v>0</v>
      </c>
      <c r="F54">
        <f t="shared" si="16"/>
        <v>5.376344086021505</v>
      </c>
      <c r="G54">
        <f t="shared" si="16"/>
        <v>2.6315789473684208</v>
      </c>
      <c r="H54">
        <f t="shared" si="16"/>
        <v>0.97087378640776689</v>
      </c>
      <c r="I54">
        <f t="shared" si="16"/>
        <v>1.0204081632653061</v>
      </c>
      <c r="J54">
        <f t="shared" si="16"/>
        <v>3.1578947368421053</v>
      </c>
      <c r="K54">
        <f t="shared" si="16"/>
        <v>1</v>
      </c>
      <c r="L54">
        <f t="shared" si="16"/>
        <v>0</v>
      </c>
      <c r="M54">
        <f t="shared" si="16"/>
        <v>4.0816326530612246</v>
      </c>
      <c r="N54">
        <f t="shared" si="16"/>
        <v>0</v>
      </c>
      <c r="O54">
        <f t="shared" si="16"/>
        <v>0</v>
      </c>
      <c r="P54">
        <f t="shared" si="16"/>
        <v>0.94339622641509435</v>
      </c>
      <c r="Q54">
        <f t="shared" si="16"/>
        <v>0</v>
      </c>
      <c r="R54">
        <f t="shared" si="16"/>
        <v>0</v>
      </c>
    </row>
    <row r="55" spans="3:18" x14ac:dyDescent="0.2">
      <c r="C55" t="s">
        <v>31</v>
      </c>
      <c r="D55">
        <f t="shared" ref="D55:R55" si="17">D18/D$35*100</f>
        <v>17.647058823529413</v>
      </c>
      <c r="E55">
        <f t="shared" si="17"/>
        <v>1.0204081632653061</v>
      </c>
      <c r="F55">
        <f t="shared" si="17"/>
        <v>2.1505376344086025</v>
      </c>
      <c r="G55">
        <f t="shared" si="17"/>
        <v>0</v>
      </c>
      <c r="H55">
        <f t="shared" si="17"/>
        <v>0</v>
      </c>
      <c r="I55">
        <f t="shared" si="17"/>
        <v>1.0204081632653061</v>
      </c>
      <c r="J55">
        <f t="shared" si="17"/>
        <v>0</v>
      </c>
      <c r="K55">
        <f t="shared" si="17"/>
        <v>0</v>
      </c>
      <c r="L55">
        <f t="shared" si="17"/>
        <v>0</v>
      </c>
      <c r="M55">
        <f t="shared" si="17"/>
        <v>0</v>
      </c>
      <c r="N55">
        <f t="shared" si="17"/>
        <v>0</v>
      </c>
      <c r="O55">
        <f t="shared" si="17"/>
        <v>0</v>
      </c>
      <c r="P55">
        <f t="shared" si="17"/>
        <v>0</v>
      </c>
      <c r="Q55">
        <f t="shared" si="17"/>
        <v>0</v>
      </c>
      <c r="R55">
        <f t="shared" si="17"/>
        <v>0</v>
      </c>
    </row>
    <row r="56" spans="3:18" x14ac:dyDescent="0.2">
      <c r="C56" t="s">
        <v>317</v>
      </c>
      <c r="D56">
        <f t="shared" ref="D56:R56" si="18">D19/D$35*100</f>
        <v>0</v>
      </c>
      <c r="E56">
        <f t="shared" si="18"/>
        <v>0</v>
      </c>
      <c r="F56">
        <f t="shared" si="18"/>
        <v>0</v>
      </c>
      <c r="G56">
        <f t="shared" si="18"/>
        <v>0</v>
      </c>
      <c r="H56">
        <f t="shared" si="18"/>
        <v>0</v>
      </c>
      <c r="I56">
        <f t="shared" si="18"/>
        <v>0</v>
      </c>
      <c r="J56">
        <f t="shared" si="18"/>
        <v>0</v>
      </c>
      <c r="K56">
        <f t="shared" si="18"/>
        <v>0</v>
      </c>
      <c r="L56">
        <f t="shared" si="18"/>
        <v>1</v>
      </c>
      <c r="M56">
        <f t="shared" si="18"/>
        <v>0</v>
      </c>
      <c r="N56">
        <f t="shared" si="18"/>
        <v>0</v>
      </c>
      <c r="O56">
        <f t="shared" si="18"/>
        <v>0</v>
      </c>
      <c r="P56">
        <f t="shared" si="18"/>
        <v>1.8867924528301887</v>
      </c>
      <c r="Q56">
        <f t="shared" si="18"/>
        <v>2.9702970297029703</v>
      </c>
      <c r="R56">
        <f t="shared" si="18"/>
        <v>0</v>
      </c>
    </row>
    <row r="57" spans="3:18" x14ac:dyDescent="0.2">
      <c r="C57" t="s">
        <v>186</v>
      </c>
      <c r="D57">
        <f t="shared" ref="D57:R57" si="19">D20/D$35*100</f>
        <v>0</v>
      </c>
      <c r="E57">
        <f t="shared" si="19"/>
        <v>1.0204081632653061</v>
      </c>
      <c r="F57">
        <f t="shared" si="19"/>
        <v>0</v>
      </c>
      <c r="G57">
        <f t="shared" si="19"/>
        <v>0</v>
      </c>
      <c r="H57">
        <f t="shared" si="19"/>
        <v>0</v>
      </c>
      <c r="I57">
        <f t="shared" si="19"/>
        <v>0</v>
      </c>
      <c r="J57">
        <f t="shared" si="19"/>
        <v>1.0526315789473684</v>
      </c>
      <c r="K57">
        <f t="shared" si="19"/>
        <v>0</v>
      </c>
      <c r="L57">
        <f t="shared" si="19"/>
        <v>0</v>
      </c>
      <c r="M57">
        <f t="shared" si="19"/>
        <v>0</v>
      </c>
      <c r="N57">
        <f t="shared" si="19"/>
        <v>0</v>
      </c>
      <c r="O57">
        <f t="shared" si="19"/>
        <v>0</v>
      </c>
      <c r="P57">
        <f t="shared" si="19"/>
        <v>0</v>
      </c>
      <c r="Q57">
        <f t="shared" si="19"/>
        <v>0</v>
      </c>
      <c r="R57">
        <f t="shared" si="19"/>
        <v>0</v>
      </c>
    </row>
    <row r="58" spans="3:18" x14ac:dyDescent="0.2">
      <c r="C58" t="s">
        <v>7</v>
      </c>
      <c r="D58">
        <f t="shared" ref="D58:R58" si="20">D21/D$35*100</f>
        <v>12.745098039215685</v>
      </c>
      <c r="E58">
        <f t="shared" si="20"/>
        <v>18.367346938775512</v>
      </c>
      <c r="F58">
        <f t="shared" si="20"/>
        <v>11.827956989247312</v>
      </c>
      <c r="G58">
        <f t="shared" si="20"/>
        <v>4.3859649122807012</v>
      </c>
      <c r="H58">
        <f t="shared" si="20"/>
        <v>11.650485436893204</v>
      </c>
      <c r="I58">
        <f t="shared" si="20"/>
        <v>2.0408163265306123</v>
      </c>
      <c r="J58">
        <f t="shared" si="20"/>
        <v>1.0526315789473684</v>
      </c>
      <c r="K58">
        <f t="shared" si="20"/>
        <v>9</v>
      </c>
      <c r="L58">
        <f t="shared" si="20"/>
        <v>16</v>
      </c>
      <c r="M58">
        <f t="shared" si="20"/>
        <v>2.0408163265306123</v>
      </c>
      <c r="N58">
        <f t="shared" si="20"/>
        <v>22.58064516129032</v>
      </c>
      <c r="O58">
        <f t="shared" si="20"/>
        <v>11.111111111111111</v>
      </c>
      <c r="P58">
        <f t="shared" si="20"/>
        <v>29.245283018867923</v>
      </c>
      <c r="Q58">
        <f t="shared" si="20"/>
        <v>11.881188118811881</v>
      </c>
      <c r="R58">
        <f t="shared" si="20"/>
        <v>23.762376237623762</v>
      </c>
    </row>
    <row r="59" spans="3:18" x14ac:dyDescent="0.2">
      <c r="C59" t="s">
        <v>27</v>
      </c>
      <c r="D59">
        <f t="shared" ref="D59:R59" si="21">D22/D$35*100</f>
        <v>0.98039215686274506</v>
      </c>
      <c r="E59">
        <f t="shared" si="21"/>
        <v>2.0408163265306123</v>
      </c>
      <c r="F59">
        <f t="shared" si="21"/>
        <v>6.4516129032258061</v>
      </c>
      <c r="G59">
        <f t="shared" si="21"/>
        <v>5.2631578947368416</v>
      </c>
      <c r="H59">
        <f t="shared" si="21"/>
        <v>3.8834951456310676</v>
      </c>
      <c r="I59">
        <f t="shared" si="21"/>
        <v>0</v>
      </c>
      <c r="J59">
        <f t="shared" si="21"/>
        <v>3.1578947368421053</v>
      </c>
      <c r="K59">
        <f t="shared" si="21"/>
        <v>0</v>
      </c>
      <c r="L59">
        <f t="shared" si="21"/>
        <v>2</v>
      </c>
      <c r="M59">
        <f t="shared" si="21"/>
        <v>0</v>
      </c>
      <c r="N59">
        <f t="shared" si="21"/>
        <v>2.1505376344086025</v>
      </c>
      <c r="O59">
        <f t="shared" si="21"/>
        <v>11.111111111111111</v>
      </c>
      <c r="P59">
        <f t="shared" si="21"/>
        <v>0.94339622641509435</v>
      </c>
      <c r="Q59">
        <f t="shared" si="21"/>
        <v>1.9801980198019802</v>
      </c>
      <c r="R59">
        <f t="shared" si="21"/>
        <v>2.9702970297029703</v>
      </c>
    </row>
    <row r="60" spans="3:18" x14ac:dyDescent="0.2">
      <c r="C60" t="s">
        <v>311</v>
      </c>
      <c r="D60">
        <f t="shared" ref="D60:R60" si="22">D23/D$35*100</f>
        <v>0.98039215686274506</v>
      </c>
      <c r="E60">
        <f t="shared" si="22"/>
        <v>0</v>
      </c>
      <c r="F60">
        <f t="shared" si="22"/>
        <v>0</v>
      </c>
      <c r="G60">
        <f t="shared" si="22"/>
        <v>0.8771929824561403</v>
      </c>
      <c r="H60">
        <f t="shared" si="22"/>
        <v>0</v>
      </c>
      <c r="I60">
        <f t="shared" si="22"/>
        <v>0</v>
      </c>
      <c r="J60">
        <f t="shared" si="22"/>
        <v>0</v>
      </c>
      <c r="K60">
        <f t="shared" si="22"/>
        <v>1</v>
      </c>
      <c r="L60">
        <f t="shared" si="22"/>
        <v>0</v>
      </c>
      <c r="M60">
        <f t="shared" si="22"/>
        <v>0</v>
      </c>
      <c r="N60">
        <f t="shared" si="22"/>
        <v>0</v>
      </c>
      <c r="O60">
        <f t="shared" si="22"/>
        <v>2.2222222222222223</v>
      </c>
      <c r="P60">
        <f t="shared" si="22"/>
        <v>0</v>
      </c>
      <c r="Q60">
        <f t="shared" si="22"/>
        <v>0.99009900990099009</v>
      </c>
      <c r="R60">
        <f t="shared" si="22"/>
        <v>0</v>
      </c>
    </row>
    <row r="61" spans="3:18" x14ac:dyDescent="0.2">
      <c r="C61" t="s">
        <v>25</v>
      </c>
      <c r="D61">
        <f t="shared" ref="D61:R61" si="23">D24/D$35*100</f>
        <v>0</v>
      </c>
      <c r="E61">
        <f t="shared" si="23"/>
        <v>0</v>
      </c>
      <c r="F61">
        <f t="shared" si="23"/>
        <v>0</v>
      </c>
      <c r="G61">
        <f t="shared" si="23"/>
        <v>0</v>
      </c>
      <c r="H61">
        <f t="shared" si="23"/>
        <v>0</v>
      </c>
      <c r="I61">
        <f t="shared" si="23"/>
        <v>0</v>
      </c>
      <c r="J61">
        <f t="shared" si="23"/>
        <v>0</v>
      </c>
      <c r="K61">
        <f t="shared" si="23"/>
        <v>0</v>
      </c>
      <c r="L61">
        <f t="shared" si="23"/>
        <v>0</v>
      </c>
      <c r="M61">
        <f t="shared" si="23"/>
        <v>2.0408163265306123</v>
      </c>
      <c r="N61">
        <f t="shared" si="23"/>
        <v>0</v>
      </c>
      <c r="O61">
        <f t="shared" si="23"/>
        <v>0</v>
      </c>
      <c r="P61">
        <f t="shared" si="23"/>
        <v>0</v>
      </c>
      <c r="Q61">
        <f t="shared" si="23"/>
        <v>0</v>
      </c>
      <c r="R61">
        <f t="shared" si="23"/>
        <v>0</v>
      </c>
    </row>
    <row r="62" spans="3:18" x14ac:dyDescent="0.2">
      <c r="C62" t="s">
        <v>11</v>
      </c>
      <c r="D62">
        <f t="shared" ref="D62:R62" si="24">D25/D$35*100</f>
        <v>0</v>
      </c>
      <c r="E62">
        <f t="shared" si="24"/>
        <v>0</v>
      </c>
      <c r="F62">
        <f t="shared" si="24"/>
        <v>0</v>
      </c>
      <c r="G62">
        <f t="shared" si="24"/>
        <v>3.5087719298245612</v>
      </c>
      <c r="H62">
        <f t="shared" si="24"/>
        <v>0.97087378640776689</v>
      </c>
      <c r="I62">
        <f t="shared" si="24"/>
        <v>0</v>
      </c>
      <c r="J62">
        <f t="shared" si="24"/>
        <v>0</v>
      </c>
      <c r="K62">
        <f t="shared" si="24"/>
        <v>0</v>
      </c>
      <c r="L62">
        <f t="shared" si="24"/>
        <v>1</v>
      </c>
      <c r="M62">
        <f t="shared" si="24"/>
        <v>3.0612244897959182</v>
      </c>
      <c r="N62">
        <f t="shared" si="24"/>
        <v>1.0752688172043012</v>
      </c>
      <c r="O62">
        <f t="shared" si="24"/>
        <v>8.8888888888888893</v>
      </c>
      <c r="P62">
        <f t="shared" si="24"/>
        <v>0.94339622641509435</v>
      </c>
      <c r="Q62">
        <f t="shared" si="24"/>
        <v>0.99009900990099009</v>
      </c>
      <c r="R62">
        <f t="shared" si="24"/>
        <v>2.9702970297029703</v>
      </c>
    </row>
    <row r="63" spans="3:18" x14ac:dyDescent="0.2">
      <c r="C63" t="s">
        <v>346</v>
      </c>
      <c r="D63">
        <f t="shared" ref="D63:R63" si="25">D26/D$35*100</f>
        <v>0</v>
      </c>
      <c r="E63">
        <f t="shared" si="25"/>
        <v>0</v>
      </c>
      <c r="F63">
        <f t="shared" si="25"/>
        <v>1.0752688172043012</v>
      </c>
      <c r="G63">
        <f t="shared" si="25"/>
        <v>0</v>
      </c>
      <c r="H63">
        <f t="shared" si="25"/>
        <v>0</v>
      </c>
      <c r="I63">
        <f t="shared" si="25"/>
        <v>1.0204081632653061</v>
      </c>
      <c r="J63">
        <f t="shared" si="25"/>
        <v>0</v>
      </c>
      <c r="K63">
        <f t="shared" si="25"/>
        <v>0</v>
      </c>
      <c r="L63">
        <f t="shared" si="25"/>
        <v>1</v>
      </c>
      <c r="M63">
        <f t="shared" si="25"/>
        <v>0</v>
      </c>
      <c r="N63">
        <f t="shared" si="25"/>
        <v>0</v>
      </c>
      <c r="O63">
        <f t="shared" si="25"/>
        <v>2.2222222222222223</v>
      </c>
      <c r="P63">
        <f t="shared" si="25"/>
        <v>0</v>
      </c>
      <c r="Q63">
        <f t="shared" si="25"/>
        <v>0</v>
      </c>
      <c r="R63">
        <f t="shared" si="25"/>
        <v>0</v>
      </c>
    </row>
    <row r="64" spans="3:18" x14ac:dyDescent="0.2">
      <c r="C64" t="s">
        <v>161</v>
      </c>
      <c r="D64">
        <f t="shared" ref="D64:R64" si="26">D27/D$35*100</f>
        <v>0</v>
      </c>
      <c r="E64">
        <f t="shared" si="26"/>
        <v>0</v>
      </c>
      <c r="F64">
        <f t="shared" si="26"/>
        <v>6.4516129032258061</v>
      </c>
      <c r="G64">
        <f t="shared" si="26"/>
        <v>0.8771929824561403</v>
      </c>
      <c r="H64">
        <f t="shared" si="26"/>
        <v>3.8834951456310676</v>
      </c>
      <c r="I64">
        <f t="shared" si="26"/>
        <v>3.0612244897959182</v>
      </c>
      <c r="J64">
        <f t="shared" si="26"/>
        <v>1.0526315789473684</v>
      </c>
      <c r="K64">
        <f t="shared" si="26"/>
        <v>2</v>
      </c>
      <c r="L64">
        <f t="shared" si="26"/>
        <v>1</v>
      </c>
      <c r="M64">
        <f t="shared" si="26"/>
        <v>2.0408163265306123</v>
      </c>
      <c r="N64">
        <f t="shared" si="26"/>
        <v>0</v>
      </c>
      <c r="O64">
        <f t="shared" si="26"/>
        <v>2.2222222222222223</v>
      </c>
      <c r="P64">
        <f t="shared" si="26"/>
        <v>0</v>
      </c>
      <c r="Q64">
        <f t="shared" si="26"/>
        <v>0</v>
      </c>
      <c r="R64">
        <f t="shared" si="26"/>
        <v>0</v>
      </c>
    </row>
    <row r="65" spans="3:18" x14ac:dyDescent="0.2">
      <c r="C65" t="s">
        <v>34</v>
      </c>
      <c r="D65">
        <f t="shared" ref="D65:R65" si="27">D28/D$35*100</f>
        <v>0</v>
      </c>
      <c r="E65">
        <f t="shared" si="27"/>
        <v>0</v>
      </c>
      <c r="F65">
        <f t="shared" si="27"/>
        <v>1.0752688172043012</v>
      </c>
      <c r="G65">
        <f t="shared" si="27"/>
        <v>0</v>
      </c>
      <c r="H65">
        <f t="shared" si="27"/>
        <v>0</v>
      </c>
      <c r="I65">
        <f t="shared" si="27"/>
        <v>0</v>
      </c>
      <c r="J65">
        <f t="shared" si="27"/>
        <v>0</v>
      </c>
      <c r="K65">
        <f t="shared" si="27"/>
        <v>0</v>
      </c>
      <c r="L65">
        <f t="shared" si="27"/>
        <v>0</v>
      </c>
      <c r="M65">
        <f t="shared" si="27"/>
        <v>0</v>
      </c>
      <c r="N65">
        <f t="shared" si="27"/>
        <v>0</v>
      </c>
      <c r="O65">
        <f t="shared" si="27"/>
        <v>0</v>
      </c>
      <c r="P65">
        <f t="shared" si="27"/>
        <v>0</v>
      </c>
      <c r="Q65">
        <f t="shared" si="27"/>
        <v>0</v>
      </c>
      <c r="R65">
        <f t="shared" si="27"/>
        <v>0.99009900990099009</v>
      </c>
    </row>
    <row r="66" spans="3:18" x14ac:dyDescent="0.2">
      <c r="C66" t="s">
        <v>112</v>
      </c>
      <c r="D66">
        <f t="shared" ref="D66:R66" si="28">D29/D$35*100</f>
        <v>26.47058823529412</v>
      </c>
      <c r="E66">
        <f t="shared" si="28"/>
        <v>20.408163265306122</v>
      </c>
      <c r="F66">
        <f t="shared" si="28"/>
        <v>34.408602150537639</v>
      </c>
      <c r="G66">
        <f t="shared" si="28"/>
        <v>20.175438596491226</v>
      </c>
      <c r="H66">
        <f t="shared" si="28"/>
        <v>17.475728155339805</v>
      </c>
      <c r="I66">
        <f t="shared" si="28"/>
        <v>0</v>
      </c>
      <c r="J66">
        <f t="shared" si="28"/>
        <v>4.2105263157894735</v>
      </c>
      <c r="K66">
        <f t="shared" si="28"/>
        <v>31</v>
      </c>
      <c r="L66">
        <f t="shared" si="28"/>
        <v>23</v>
      </c>
      <c r="M66">
        <f t="shared" si="28"/>
        <v>12.244897959183673</v>
      </c>
      <c r="N66">
        <f t="shared" si="28"/>
        <v>17.20430107526882</v>
      </c>
      <c r="O66">
        <f t="shared" si="28"/>
        <v>8.8888888888888893</v>
      </c>
      <c r="P66">
        <f t="shared" si="28"/>
        <v>10.377358490566039</v>
      </c>
      <c r="Q66">
        <f t="shared" si="28"/>
        <v>7.9207920792079207</v>
      </c>
      <c r="R66">
        <f t="shared" si="28"/>
        <v>10.891089108910892</v>
      </c>
    </row>
    <row r="67" spans="3:18" x14ac:dyDescent="0.2">
      <c r="C67" t="s">
        <v>4</v>
      </c>
      <c r="D67">
        <f t="shared" ref="D67:R67" si="29">D30/D$35*100</f>
        <v>4.9019607843137258</v>
      </c>
      <c r="E67">
        <f t="shared" si="29"/>
        <v>8.1632653061224492</v>
      </c>
      <c r="F67">
        <f t="shared" si="29"/>
        <v>0</v>
      </c>
      <c r="G67">
        <f t="shared" si="29"/>
        <v>12.280701754385964</v>
      </c>
      <c r="H67">
        <f t="shared" si="29"/>
        <v>9.7087378640776691</v>
      </c>
      <c r="I67">
        <f t="shared" si="29"/>
        <v>10.204081632653061</v>
      </c>
      <c r="J67">
        <f t="shared" si="29"/>
        <v>17.894736842105264</v>
      </c>
      <c r="K67">
        <f t="shared" si="29"/>
        <v>8</v>
      </c>
      <c r="L67">
        <f t="shared" si="29"/>
        <v>8</v>
      </c>
      <c r="M67">
        <f t="shared" si="29"/>
        <v>13.26530612244898</v>
      </c>
      <c r="N67">
        <f t="shared" si="29"/>
        <v>15.053763440860216</v>
      </c>
      <c r="O67">
        <f t="shared" si="29"/>
        <v>8.8888888888888893</v>
      </c>
      <c r="P67">
        <f t="shared" si="29"/>
        <v>6.6037735849056602</v>
      </c>
      <c r="Q67">
        <f t="shared" si="29"/>
        <v>23.762376237623762</v>
      </c>
      <c r="R67">
        <f t="shared" si="29"/>
        <v>11.881188118811881</v>
      </c>
    </row>
    <row r="68" spans="3:18" x14ac:dyDescent="0.2">
      <c r="C68" t="s">
        <v>223</v>
      </c>
      <c r="D68">
        <f t="shared" ref="D68:R68" si="30">D31/D$35*100</f>
        <v>0</v>
      </c>
      <c r="E68">
        <f t="shared" si="30"/>
        <v>1.0204081632653061</v>
      </c>
      <c r="F68">
        <f t="shared" si="30"/>
        <v>0</v>
      </c>
      <c r="G68">
        <f t="shared" si="30"/>
        <v>0</v>
      </c>
      <c r="H68">
        <f t="shared" si="30"/>
        <v>0</v>
      </c>
      <c r="I68">
        <f t="shared" si="30"/>
        <v>0</v>
      </c>
      <c r="J68">
        <f t="shared" si="30"/>
        <v>0</v>
      </c>
      <c r="K68">
        <f t="shared" si="30"/>
        <v>0</v>
      </c>
      <c r="L68">
        <f t="shared" si="30"/>
        <v>0</v>
      </c>
      <c r="M68">
        <f t="shared" si="30"/>
        <v>0</v>
      </c>
      <c r="N68">
        <f t="shared" si="30"/>
        <v>0</v>
      </c>
      <c r="O68">
        <f t="shared" si="30"/>
        <v>0</v>
      </c>
      <c r="P68">
        <f t="shared" si="30"/>
        <v>0</v>
      </c>
      <c r="Q68">
        <f t="shared" si="30"/>
        <v>0</v>
      </c>
      <c r="R68">
        <f t="shared" si="30"/>
        <v>0</v>
      </c>
    </row>
    <row r="69" spans="3:18" x14ac:dyDescent="0.2">
      <c r="C69" t="s">
        <v>208</v>
      </c>
      <c r="D69">
        <f t="shared" ref="D69:R69" si="31">D32/D$35*100</f>
        <v>0</v>
      </c>
      <c r="E69">
        <f t="shared" si="31"/>
        <v>0</v>
      </c>
      <c r="F69">
        <f t="shared" si="31"/>
        <v>0</v>
      </c>
      <c r="G69">
        <f t="shared" si="31"/>
        <v>3.5087719298245612</v>
      </c>
      <c r="H69">
        <f t="shared" si="31"/>
        <v>0.97087378640776689</v>
      </c>
      <c r="I69">
        <f t="shared" si="31"/>
        <v>1.0204081632653061</v>
      </c>
      <c r="J69">
        <f t="shared" si="31"/>
        <v>0</v>
      </c>
      <c r="K69">
        <f t="shared" si="31"/>
        <v>0</v>
      </c>
      <c r="L69">
        <f t="shared" si="31"/>
        <v>0</v>
      </c>
      <c r="M69">
        <f t="shared" si="31"/>
        <v>0</v>
      </c>
      <c r="N69">
        <f t="shared" si="31"/>
        <v>1.0752688172043012</v>
      </c>
      <c r="O69">
        <f t="shared" si="31"/>
        <v>4.4444444444444446</v>
      </c>
      <c r="P69">
        <f t="shared" si="31"/>
        <v>0</v>
      </c>
      <c r="Q69">
        <f t="shared" si="31"/>
        <v>0.99009900990099009</v>
      </c>
      <c r="R69">
        <f t="shared" si="31"/>
        <v>0</v>
      </c>
    </row>
    <row r="70" spans="3:18" x14ac:dyDescent="0.2">
      <c r="C70" t="s">
        <v>415</v>
      </c>
      <c r="D70">
        <f t="shared" ref="D70:R70" si="32">D33/D$35*100</f>
        <v>5.8823529411764701</v>
      </c>
      <c r="E70">
        <f t="shared" si="32"/>
        <v>4.0816326530612246</v>
      </c>
      <c r="F70">
        <f t="shared" si="32"/>
        <v>1.0752688172043012</v>
      </c>
      <c r="G70">
        <f t="shared" si="32"/>
        <v>0.8771929824561403</v>
      </c>
      <c r="H70">
        <f t="shared" si="32"/>
        <v>0</v>
      </c>
      <c r="I70">
        <f t="shared" si="32"/>
        <v>3.0612244897959182</v>
      </c>
      <c r="J70">
        <f t="shared" si="32"/>
        <v>0</v>
      </c>
      <c r="K70">
        <f t="shared" si="32"/>
        <v>0</v>
      </c>
      <c r="L70">
        <f t="shared" si="32"/>
        <v>0</v>
      </c>
      <c r="M70">
        <f t="shared" si="32"/>
        <v>0</v>
      </c>
      <c r="N70">
        <f t="shared" si="32"/>
        <v>0</v>
      </c>
      <c r="O70">
        <f t="shared" si="32"/>
        <v>0</v>
      </c>
      <c r="P70">
        <f t="shared" si="32"/>
        <v>0</v>
      </c>
      <c r="Q70">
        <f t="shared" si="32"/>
        <v>0.99009900990099009</v>
      </c>
      <c r="R70">
        <f t="shared" si="32"/>
        <v>0</v>
      </c>
    </row>
    <row r="72" spans="3:18" x14ac:dyDescent="0.2">
      <c r="C72" t="s">
        <v>40</v>
      </c>
      <c r="D72">
        <f>SUM(D39:D70)</f>
        <v>100</v>
      </c>
      <c r="E72">
        <f t="shared" ref="E72:R72" si="33">SUM(E39:E70)</f>
        <v>100.00000000000003</v>
      </c>
      <c r="F72">
        <f t="shared" si="33"/>
        <v>100.00000000000001</v>
      </c>
      <c r="G72">
        <f t="shared" si="33"/>
        <v>99.999999999999972</v>
      </c>
      <c r="H72">
        <f t="shared" si="33"/>
        <v>100</v>
      </c>
      <c r="I72">
        <f t="shared" si="33"/>
        <v>99.999999999999957</v>
      </c>
      <c r="J72">
        <f t="shared" si="33"/>
        <v>100.00000000000001</v>
      </c>
      <c r="K72">
        <f t="shared" si="33"/>
        <v>100</v>
      </c>
      <c r="L72">
        <f t="shared" si="33"/>
        <v>100</v>
      </c>
      <c r="M72">
        <f t="shared" si="33"/>
        <v>100.00000000000001</v>
      </c>
      <c r="N72">
        <f t="shared" si="33"/>
        <v>100.00000000000001</v>
      </c>
      <c r="O72">
        <f t="shared" si="33"/>
        <v>100.00000000000001</v>
      </c>
      <c r="P72">
        <f t="shared" si="33"/>
        <v>99.999999999999972</v>
      </c>
      <c r="Q72">
        <f t="shared" si="33"/>
        <v>99.999999999999972</v>
      </c>
      <c r="R72">
        <f t="shared" si="33"/>
        <v>100</v>
      </c>
    </row>
  </sheetData>
  <sortState xmlns:xlrd2="http://schemas.microsoft.com/office/spreadsheetml/2017/richdata2" ref="A2:R33">
    <sortCondition ref="B2:B3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B9E7-ACCF-4995-8854-910CFB390106}">
  <dimension ref="A1:P33"/>
  <sheetViews>
    <sheetView workbookViewId="0">
      <selection sqref="A1:P33"/>
    </sheetView>
  </sheetViews>
  <sheetFormatPr baseColWidth="10" defaultColWidth="8.83203125" defaultRowHeight="15" x14ac:dyDescent="0.2"/>
  <sheetData>
    <row r="1" spans="1:16" s="2" customFormat="1" x14ac:dyDescent="0.2">
      <c r="A1" s="2" t="s">
        <v>2</v>
      </c>
      <c r="B1" s="2">
        <v>9</v>
      </c>
      <c r="C1" s="2">
        <v>19</v>
      </c>
      <c r="D1" s="2">
        <v>29</v>
      </c>
      <c r="E1" s="2">
        <v>39</v>
      </c>
      <c r="F1" s="2">
        <v>50</v>
      </c>
      <c r="G1" s="2">
        <v>59</v>
      </c>
      <c r="H1" s="2">
        <v>69</v>
      </c>
      <c r="I1" s="2">
        <v>79</v>
      </c>
      <c r="J1" s="2">
        <v>89</v>
      </c>
      <c r="K1" s="2">
        <v>100</v>
      </c>
      <c r="L1" s="2">
        <v>109</v>
      </c>
      <c r="M1" s="2">
        <v>119</v>
      </c>
      <c r="N1" s="2">
        <v>129</v>
      </c>
      <c r="O1" s="2">
        <v>139</v>
      </c>
      <c r="P1" s="2">
        <v>149</v>
      </c>
    </row>
    <row r="2" spans="1:16" x14ac:dyDescent="0.2">
      <c r="A2" t="s">
        <v>273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">
      <c r="A3" t="s">
        <v>9</v>
      </c>
      <c r="B3">
        <v>0</v>
      </c>
      <c r="C3">
        <v>0</v>
      </c>
      <c r="D3">
        <v>1.0752688172043012</v>
      </c>
      <c r="E3">
        <v>0.8771929824561403</v>
      </c>
      <c r="F3">
        <v>3.8834951456310676</v>
      </c>
      <c r="G3">
        <v>19.387755102040817</v>
      </c>
      <c r="H3">
        <v>10.526315789473683</v>
      </c>
      <c r="I3">
        <v>1</v>
      </c>
      <c r="J3">
        <v>3</v>
      </c>
      <c r="K3">
        <v>11.224489795918368</v>
      </c>
      <c r="L3">
        <v>3.225806451612903</v>
      </c>
      <c r="M3">
        <v>2.2222222222222223</v>
      </c>
      <c r="N3">
        <v>5.6603773584905666</v>
      </c>
      <c r="O3">
        <v>3.9603960396039604</v>
      </c>
      <c r="P3">
        <v>3.9603960396039604</v>
      </c>
    </row>
    <row r="4" spans="1:16" x14ac:dyDescent="0.2">
      <c r="A4" t="s">
        <v>5</v>
      </c>
      <c r="B4">
        <v>0</v>
      </c>
      <c r="C4">
        <v>0</v>
      </c>
      <c r="D4">
        <v>1.0752688172043012</v>
      </c>
      <c r="E4">
        <v>8.7719298245614024</v>
      </c>
      <c r="F4">
        <v>11.650485436893204</v>
      </c>
      <c r="G4">
        <v>16.326530612244898</v>
      </c>
      <c r="H4">
        <v>16.842105263157894</v>
      </c>
      <c r="I4">
        <v>5</v>
      </c>
      <c r="J4">
        <v>6</v>
      </c>
      <c r="K4">
        <v>19.387755102040817</v>
      </c>
      <c r="L4">
        <v>3.225806451612903</v>
      </c>
      <c r="M4">
        <v>4.4444444444444446</v>
      </c>
      <c r="N4">
        <v>9.433962264150944</v>
      </c>
      <c r="O4">
        <v>7.9207920792079207</v>
      </c>
      <c r="P4">
        <v>5.9405940594059405</v>
      </c>
    </row>
    <row r="5" spans="1:16" x14ac:dyDescent="0.2">
      <c r="A5" t="s">
        <v>106</v>
      </c>
      <c r="B5">
        <v>0</v>
      </c>
      <c r="C5">
        <v>2.0408163265306123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">
      <c r="A6" t="s">
        <v>326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">
      <c r="A7" t="s">
        <v>150</v>
      </c>
      <c r="B7">
        <v>0.98039215686274506</v>
      </c>
      <c r="C7">
        <v>0</v>
      </c>
      <c r="D7">
        <v>10.75268817204301</v>
      </c>
      <c r="E7">
        <v>21.052631578947366</v>
      </c>
      <c r="F7">
        <v>23.300970873786408</v>
      </c>
      <c r="G7">
        <v>34.693877551020407</v>
      </c>
      <c r="H7">
        <v>24.210526315789473</v>
      </c>
      <c r="I7">
        <v>10</v>
      </c>
      <c r="J7">
        <v>13</v>
      </c>
      <c r="K7">
        <v>12.244897959183673</v>
      </c>
      <c r="L7">
        <v>15.053763440860216</v>
      </c>
      <c r="M7">
        <v>17.777777777777779</v>
      </c>
      <c r="N7">
        <v>18.867924528301888</v>
      </c>
      <c r="O7">
        <v>20.792079207920793</v>
      </c>
      <c r="P7">
        <v>7.9207920792079207</v>
      </c>
    </row>
    <row r="8" spans="1:16" x14ac:dyDescent="0.2">
      <c r="A8" t="s">
        <v>164</v>
      </c>
      <c r="B8">
        <v>0</v>
      </c>
      <c r="C8">
        <v>0</v>
      </c>
      <c r="D8">
        <v>0</v>
      </c>
      <c r="E8">
        <v>0</v>
      </c>
      <c r="F8">
        <v>0</v>
      </c>
      <c r="G8">
        <v>1.0204081632653061</v>
      </c>
      <c r="H8">
        <v>0</v>
      </c>
      <c r="I8">
        <v>2</v>
      </c>
      <c r="J8">
        <v>3</v>
      </c>
      <c r="K8">
        <v>1.0204081632653061</v>
      </c>
      <c r="L8">
        <v>0</v>
      </c>
      <c r="M8">
        <v>4.4444444444444446</v>
      </c>
      <c r="N8">
        <v>1.8867924528301887</v>
      </c>
      <c r="O8">
        <v>0.99009900990099009</v>
      </c>
      <c r="P8">
        <v>3.9603960396039604</v>
      </c>
    </row>
    <row r="9" spans="1:16" x14ac:dyDescent="0.2">
      <c r="A9" t="s">
        <v>280</v>
      </c>
      <c r="B9">
        <v>9.8039215686274517</v>
      </c>
      <c r="C9">
        <v>3.0612244897959182</v>
      </c>
      <c r="D9">
        <v>0</v>
      </c>
      <c r="E9">
        <v>2.6315789473684208</v>
      </c>
      <c r="F9">
        <v>3.8834951456310676</v>
      </c>
      <c r="G9">
        <v>1.0204081632653061</v>
      </c>
      <c r="H9">
        <v>8.4210526315789469</v>
      </c>
      <c r="I9">
        <v>5</v>
      </c>
      <c r="J9">
        <v>3</v>
      </c>
      <c r="K9">
        <v>4.0816326530612246</v>
      </c>
      <c r="L9">
        <v>3.225806451612903</v>
      </c>
      <c r="M9">
        <v>4.4444444444444446</v>
      </c>
      <c r="N9">
        <v>2.8301886792452833</v>
      </c>
      <c r="O9">
        <v>2.9702970297029703</v>
      </c>
      <c r="P9">
        <v>3.9603960396039604</v>
      </c>
    </row>
    <row r="10" spans="1:16" x14ac:dyDescent="0.2">
      <c r="A10" t="s">
        <v>36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1.0752688172043012</v>
      </c>
      <c r="M10">
        <v>0</v>
      </c>
      <c r="N10">
        <v>0.94339622641509435</v>
      </c>
      <c r="O10">
        <v>0</v>
      </c>
      <c r="P10">
        <v>0</v>
      </c>
    </row>
    <row r="11" spans="1:16" x14ac:dyDescent="0.2">
      <c r="A11" t="s">
        <v>287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1.0752688172043012</v>
      </c>
      <c r="M11">
        <v>0</v>
      </c>
      <c r="N11">
        <v>0</v>
      </c>
      <c r="O11">
        <v>0</v>
      </c>
      <c r="P11">
        <v>0</v>
      </c>
    </row>
    <row r="12" spans="1:16" x14ac:dyDescent="0.2">
      <c r="A12" t="s">
        <v>28</v>
      </c>
      <c r="B12">
        <v>2.9411764705882351</v>
      </c>
      <c r="C12">
        <v>1.0204081632653061</v>
      </c>
      <c r="D12">
        <v>0</v>
      </c>
      <c r="E12">
        <v>1.7543859649122806</v>
      </c>
      <c r="F12">
        <v>0.97087378640776689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2.2222222222222223</v>
      </c>
      <c r="N12">
        <v>0</v>
      </c>
      <c r="O12">
        <v>0</v>
      </c>
      <c r="P12">
        <v>0</v>
      </c>
    </row>
    <row r="13" spans="1:16" x14ac:dyDescent="0.2">
      <c r="A13" t="s">
        <v>222</v>
      </c>
      <c r="B13">
        <v>15.686274509803921</v>
      </c>
      <c r="C13">
        <v>36.734693877551024</v>
      </c>
      <c r="D13">
        <v>15.053763440860216</v>
      </c>
      <c r="E13">
        <v>9.6491228070175428</v>
      </c>
      <c r="F13">
        <v>4.8543689320388346</v>
      </c>
      <c r="G13">
        <v>3.0612244897959182</v>
      </c>
      <c r="H13">
        <v>7.3684210526315779</v>
      </c>
      <c r="I13">
        <v>21</v>
      </c>
      <c r="J13">
        <v>17</v>
      </c>
      <c r="K13">
        <v>13.26530612244898</v>
      </c>
      <c r="L13">
        <v>11.827956989247312</v>
      </c>
      <c r="M13">
        <v>4.4444444444444446</v>
      </c>
      <c r="N13">
        <v>9.433962264150944</v>
      </c>
      <c r="O13">
        <v>10.891089108910892</v>
      </c>
      <c r="P13">
        <v>17.82178217821782</v>
      </c>
    </row>
    <row r="14" spans="1:16" x14ac:dyDescent="0.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1.0752688172043012</v>
      </c>
      <c r="M14">
        <v>0</v>
      </c>
      <c r="N14">
        <v>0</v>
      </c>
      <c r="O14">
        <v>0</v>
      </c>
      <c r="P14">
        <v>0</v>
      </c>
    </row>
    <row r="15" spans="1:16" x14ac:dyDescent="0.2">
      <c r="A15" t="s">
        <v>354</v>
      </c>
      <c r="B15">
        <v>0.98039215686274506</v>
      </c>
      <c r="C15">
        <v>0</v>
      </c>
      <c r="D15">
        <v>1.0752688172043012</v>
      </c>
      <c r="E15">
        <v>0</v>
      </c>
      <c r="F15">
        <v>0.97087378640776689</v>
      </c>
      <c r="G15">
        <v>1.0204081632653061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">
      <c r="A16" t="s">
        <v>327</v>
      </c>
      <c r="B16">
        <v>0</v>
      </c>
      <c r="C16">
        <v>1.0204081632653061</v>
      </c>
      <c r="D16">
        <v>1.0752688172043012</v>
      </c>
      <c r="E16">
        <v>0.8771929824561403</v>
      </c>
      <c r="F16">
        <v>0.97087378640776689</v>
      </c>
      <c r="G16">
        <v>1.0204081632653061</v>
      </c>
      <c r="H16">
        <v>1.0526315789473684</v>
      </c>
      <c r="I16">
        <v>1</v>
      </c>
      <c r="J16">
        <v>1</v>
      </c>
      <c r="K16">
        <v>0</v>
      </c>
      <c r="L16">
        <v>1.0752688172043012</v>
      </c>
      <c r="M16">
        <v>0</v>
      </c>
      <c r="N16">
        <v>0</v>
      </c>
      <c r="O16">
        <v>0</v>
      </c>
      <c r="P16">
        <v>2.9702970297029703</v>
      </c>
    </row>
    <row r="17" spans="1:16" x14ac:dyDescent="0.2">
      <c r="A17" t="s">
        <v>26</v>
      </c>
      <c r="B17">
        <v>0</v>
      </c>
      <c r="C17">
        <v>0</v>
      </c>
      <c r="D17">
        <v>5.376344086021505</v>
      </c>
      <c r="E17">
        <v>2.6315789473684208</v>
      </c>
      <c r="F17">
        <v>0.97087378640776689</v>
      </c>
      <c r="G17">
        <v>1.0204081632653061</v>
      </c>
      <c r="H17">
        <v>3.1578947368421053</v>
      </c>
      <c r="I17">
        <v>1</v>
      </c>
      <c r="J17">
        <v>0</v>
      </c>
      <c r="K17">
        <v>4.0816326530612246</v>
      </c>
      <c r="L17">
        <v>0</v>
      </c>
      <c r="M17">
        <v>0</v>
      </c>
      <c r="N17">
        <v>0.94339622641509435</v>
      </c>
      <c r="O17">
        <v>0</v>
      </c>
      <c r="P17">
        <v>0</v>
      </c>
    </row>
    <row r="18" spans="1:16" x14ac:dyDescent="0.2">
      <c r="A18" t="s">
        <v>31</v>
      </c>
      <c r="B18">
        <v>17.647058823529413</v>
      </c>
      <c r="C18">
        <v>1.0204081632653061</v>
      </c>
      <c r="D18">
        <v>2.1505376344086025</v>
      </c>
      <c r="E18">
        <v>0</v>
      </c>
      <c r="F18">
        <v>0</v>
      </c>
      <c r="G18">
        <v>1.0204081632653061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t="s">
        <v>317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1.8867924528301887</v>
      </c>
      <c r="O19">
        <v>2.9702970297029703</v>
      </c>
      <c r="P19">
        <v>0</v>
      </c>
    </row>
    <row r="20" spans="1:16" x14ac:dyDescent="0.2">
      <c r="A20" t="s">
        <v>186</v>
      </c>
      <c r="B20">
        <v>0</v>
      </c>
      <c r="C20">
        <v>1.0204081632653061</v>
      </c>
      <c r="D20">
        <v>0</v>
      </c>
      <c r="E20">
        <v>0</v>
      </c>
      <c r="F20">
        <v>0</v>
      </c>
      <c r="G20">
        <v>0</v>
      </c>
      <c r="H20">
        <v>1.0526315789473684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">
      <c r="A21" t="s">
        <v>7</v>
      </c>
      <c r="B21">
        <v>12.745098039215685</v>
      </c>
      <c r="C21">
        <v>18.367346938775512</v>
      </c>
      <c r="D21">
        <v>11.827956989247312</v>
      </c>
      <c r="E21">
        <v>4.3859649122807012</v>
      </c>
      <c r="F21">
        <v>11.650485436893204</v>
      </c>
      <c r="G21">
        <v>2.0408163265306123</v>
      </c>
      <c r="H21">
        <v>1.0526315789473684</v>
      </c>
      <c r="I21">
        <v>9</v>
      </c>
      <c r="J21">
        <v>16</v>
      </c>
      <c r="K21">
        <v>2.0408163265306123</v>
      </c>
      <c r="L21">
        <v>22.58064516129032</v>
      </c>
      <c r="M21">
        <v>11.111111111111111</v>
      </c>
      <c r="N21">
        <v>29.245283018867923</v>
      </c>
      <c r="O21">
        <v>11.881188118811881</v>
      </c>
      <c r="P21">
        <v>23.762376237623762</v>
      </c>
    </row>
    <row r="22" spans="1:16" x14ac:dyDescent="0.2">
      <c r="A22" t="s">
        <v>27</v>
      </c>
      <c r="B22">
        <v>0.98039215686274506</v>
      </c>
      <c r="C22">
        <v>2.0408163265306123</v>
      </c>
      <c r="D22">
        <v>6.4516129032258061</v>
      </c>
      <c r="E22">
        <v>5.2631578947368416</v>
      </c>
      <c r="F22">
        <v>3.8834951456310676</v>
      </c>
      <c r="G22">
        <v>0</v>
      </c>
      <c r="H22">
        <v>3.1578947368421053</v>
      </c>
      <c r="I22">
        <v>0</v>
      </c>
      <c r="J22">
        <v>2</v>
      </c>
      <c r="K22">
        <v>0</v>
      </c>
      <c r="L22">
        <v>2.1505376344086025</v>
      </c>
      <c r="M22">
        <v>11.111111111111111</v>
      </c>
      <c r="N22">
        <v>0.94339622641509435</v>
      </c>
      <c r="O22">
        <v>1.9801980198019802</v>
      </c>
      <c r="P22">
        <v>2.9702970297029703</v>
      </c>
    </row>
    <row r="23" spans="1:16" x14ac:dyDescent="0.2">
      <c r="A23" t="s">
        <v>311</v>
      </c>
      <c r="B23">
        <v>0.98039215686274506</v>
      </c>
      <c r="C23">
        <v>0</v>
      </c>
      <c r="D23">
        <v>0</v>
      </c>
      <c r="E23">
        <v>0.8771929824561403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2.2222222222222223</v>
      </c>
      <c r="N23">
        <v>0</v>
      </c>
      <c r="O23">
        <v>0.99009900990099009</v>
      </c>
      <c r="P23">
        <v>0</v>
      </c>
    </row>
    <row r="24" spans="1:16" x14ac:dyDescent="0.2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2.0408163265306123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">
      <c r="A25" t="s">
        <v>11</v>
      </c>
      <c r="B25">
        <v>0</v>
      </c>
      <c r="C25">
        <v>0</v>
      </c>
      <c r="D25">
        <v>0</v>
      </c>
      <c r="E25">
        <v>3.5087719298245612</v>
      </c>
      <c r="F25">
        <v>0.97087378640776689</v>
      </c>
      <c r="G25">
        <v>0</v>
      </c>
      <c r="H25">
        <v>0</v>
      </c>
      <c r="I25">
        <v>0</v>
      </c>
      <c r="J25">
        <v>1</v>
      </c>
      <c r="K25">
        <v>3.0612244897959182</v>
      </c>
      <c r="L25">
        <v>1.0752688172043012</v>
      </c>
      <c r="M25">
        <v>8.8888888888888893</v>
      </c>
      <c r="N25">
        <v>0.94339622641509435</v>
      </c>
      <c r="O25">
        <v>0.99009900990099009</v>
      </c>
      <c r="P25">
        <v>2.9702970297029703</v>
      </c>
    </row>
    <row r="26" spans="1:16" x14ac:dyDescent="0.2">
      <c r="A26" t="s">
        <v>346</v>
      </c>
      <c r="B26">
        <v>0</v>
      </c>
      <c r="C26">
        <v>0</v>
      </c>
      <c r="D26">
        <v>1.0752688172043012</v>
      </c>
      <c r="E26">
        <v>0</v>
      </c>
      <c r="F26">
        <v>0</v>
      </c>
      <c r="G26">
        <v>1.0204081632653061</v>
      </c>
      <c r="H26">
        <v>0</v>
      </c>
      <c r="I26">
        <v>0</v>
      </c>
      <c r="J26">
        <v>1</v>
      </c>
      <c r="K26">
        <v>0</v>
      </c>
      <c r="L26">
        <v>0</v>
      </c>
      <c r="M26">
        <v>2.2222222222222223</v>
      </c>
      <c r="N26">
        <v>0</v>
      </c>
      <c r="O26">
        <v>0</v>
      </c>
      <c r="P26">
        <v>0</v>
      </c>
    </row>
    <row r="27" spans="1:16" x14ac:dyDescent="0.2">
      <c r="A27" t="s">
        <v>161</v>
      </c>
      <c r="B27">
        <v>0</v>
      </c>
      <c r="C27">
        <v>0</v>
      </c>
      <c r="D27">
        <v>6.4516129032258061</v>
      </c>
      <c r="E27">
        <v>0.8771929824561403</v>
      </c>
      <c r="F27">
        <v>3.8834951456310676</v>
      </c>
      <c r="G27">
        <v>3.0612244897959182</v>
      </c>
      <c r="H27">
        <v>1.0526315789473684</v>
      </c>
      <c r="I27">
        <v>2</v>
      </c>
      <c r="J27">
        <v>1</v>
      </c>
      <c r="K27">
        <v>2.0408163265306123</v>
      </c>
      <c r="L27">
        <v>0</v>
      </c>
      <c r="M27">
        <v>2.2222222222222223</v>
      </c>
      <c r="N27">
        <v>0</v>
      </c>
      <c r="O27">
        <v>0</v>
      </c>
      <c r="P27">
        <v>0</v>
      </c>
    </row>
    <row r="28" spans="1:16" x14ac:dyDescent="0.2">
      <c r="A28" t="s">
        <v>34</v>
      </c>
      <c r="B28">
        <v>0</v>
      </c>
      <c r="C28">
        <v>0</v>
      </c>
      <c r="D28">
        <v>1.0752688172043012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0.99009900990099009</v>
      </c>
    </row>
    <row r="29" spans="1:16" x14ac:dyDescent="0.2">
      <c r="A29" t="s">
        <v>112</v>
      </c>
      <c r="B29">
        <v>26.47058823529412</v>
      </c>
      <c r="C29">
        <v>20.408163265306122</v>
      </c>
      <c r="D29">
        <v>34.408602150537639</v>
      </c>
      <c r="E29">
        <v>20.175438596491226</v>
      </c>
      <c r="F29">
        <v>17.475728155339805</v>
      </c>
      <c r="G29">
        <v>0</v>
      </c>
      <c r="H29">
        <v>4.2105263157894735</v>
      </c>
      <c r="I29">
        <v>31</v>
      </c>
      <c r="J29">
        <v>23</v>
      </c>
      <c r="K29">
        <v>12.244897959183673</v>
      </c>
      <c r="L29">
        <v>17.20430107526882</v>
      </c>
      <c r="M29">
        <v>8.8888888888888893</v>
      </c>
      <c r="N29">
        <v>10.377358490566039</v>
      </c>
      <c r="O29">
        <v>7.9207920792079207</v>
      </c>
      <c r="P29">
        <v>10.891089108910892</v>
      </c>
    </row>
    <row r="30" spans="1:16" x14ac:dyDescent="0.2">
      <c r="A30" t="s">
        <v>4</v>
      </c>
      <c r="B30">
        <v>4.9019607843137258</v>
      </c>
      <c r="C30">
        <v>8.1632653061224492</v>
      </c>
      <c r="D30">
        <v>0</v>
      </c>
      <c r="E30">
        <v>12.280701754385964</v>
      </c>
      <c r="F30">
        <v>9.7087378640776691</v>
      </c>
      <c r="G30">
        <v>10.204081632653061</v>
      </c>
      <c r="H30">
        <v>17.894736842105264</v>
      </c>
      <c r="I30">
        <v>8</v>
      </c>
      <c r="J30">
        <v>8</v>
      </c>
      <c r="K30">
        <v>13.26530612244898</v>
      </c>
      <c r="L30">
        <v>15.053763440860216</v>
      </c>
      <c r="M30">
        <v>8.8888888888888893</v>
      </c>
      <c r="N30">
        <v>6.6037735849056602</v>
      </c>
      <c r="O30">
        <v>23.762376237623762</v>
      </c>
      <c r="P30">
        <v>11.881188118811881</v>
      </c>
    </row>
    <row r="31" spans="1:16" x14ac:dyDescent="0.2">
      <c r="A31" t="s">
        <v>223</v>
      </c>
      <c r="B31">
        <v>0</v>
      </c>
      <c r="C31">
        <v>1.0204081632653061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">
      <c r="A32" t="s">
        <v>208</v>
      </c>
      <c r="B32">
        <v>0</v>
      </c>
      <c r="C32">
        <v>0</v>
      </c>
      <c r="D32">
        <v>0</v>
      </c>
      <c r="E32">
        <v>3.5087719298245612</v>
      </c>
      <c r="F32">
        <v>0.97087378640776689</v>
      </c>
      <c r="G32">
        <v>1.0204081632653061</v>
      </c>
      <c r="H32">
        <v>0</v>
      </c>
      <c r="I32">
        <v>0</v>
      </c>
      <c r="J32">
        <v>0</v>
      </c>
      <c r="K32">
        <v>0</v>
      </c>
      <c r="L32">
        <v>1.0752688172043012</v>
      </c>
      <c r="M32">
        <v>4.4444444444444446</v>
      </c>
      <c r="N32">
        <v>0</v>
      </c>
      <c r="O32">
        <v>0.99009900990099009</v>
      </c>
      <c r="P32">
        <v>0</v>
      </c>
    </row>
    <row r="33" spans="1:16" x14ac:dyDescent="0.2">
      <c r="A33" t="s">
        <v>415</v>
      </c>
      <c r="B33">
        <v>5.8823529411764701</v>
      </c>
      <c r="C33">
        <v>4.0816326530612246</v>
      </c>
      <c r="D33">
        <v>1.0752688172043012</v>
      </c>
      <c r="E33">
        <v>0.8771929824561403</v>
      </c>
      <c r="F33">
        <v>0</v>
      </c>
      <c r="G33">
        <v>3.0612244897959182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0.99009900990099009</v>
      </c>
      <c r="P3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2860-E23F-4DA3-A96A-EF2AC448166C}">
  <dimension ref="A1:R98"/>
  <sheetViews>
    <sheetView tabSelected="1" topLeftCell="A40" workbookViewId="0">
      <selection activeCell="B36" sqref="B36"/>
    </sheetView>
  </sheetViews>
  <sheetFormatPr baseColWidth="10" defaultColWidth="8.83203125" defaultRowHeight="15" x14ac:dyDescent="0.2"/>
  <sheetData>
    <row r="1" spans="1:18" x14ac:dyDescent="0.2">
      <c r="A1" s="2" t="s">
        <v>455</v>
      </c>
      <c r="B1" s="2" t="s">
        <v>456</v>
      </c>
      <c r="C1" s="2" t="s">
        <v>457</v>
      </c>
      <c r="D1" s="2">
        <v>9</v>
      </c>
      <c r="E1" s="2">
        <v>19</v>
      </c>
      <c r="F1" s="2">
        <v>29</v>
      </c>
      <c r="G1" s="2">
        <v>39</v>
      </c>
      <c r="H1" s="2">
        <v>50</v>
      </c>
      <c r="I1" s="2">
        <v>59</v>
      </c>
      <c r="J1" s="2">
        <v>69</v>
      </c>
      <c r="K1" s="2">
        <v>79</v>
      </c>
      <c r="L1" s="2">
        <v>89</v>
      </c>
      <c r="M1" s="2">
        <v>100</v>
      </c>
      <c r="N1" s="2">
        <v>109</v>
      </c>
      <c r="O1" s="2">
        <v>119</v>
      </c>
      <c r="P1" s="2">
        <v>129</v>
      </c>
      <c r="Q1" s="2">
        <v>139</v>
      </c>
      <c r="R1" s="2">
        <v>149</v>
      </c>
    </row>
    <row r="2" spans="1:18" x14ac:dyDescent="0.2">
      <c r="A2" t="s">
        <v>273</v>
      </c>
      <c r="B2">
        <v>4</v>
      </c>
      <c r="C2" t="s">
        <v>151</v>
      </c>
      <c r="K2">
        <v>1</v>
      </c>
    </row>
    <row r="3" spans="1:18" x14ac:dyDescent="0.2">
      <c r="A3" t="s">
        <v>9</v>
      </c>
      <c r="B3">
        <v>9</v>
      </c>
      <c r="C3" t="s">
        <v>88</v>
      </c>
      <c r="F3">
        <v>1</v>
      </c>
      <c r="G3">
        <v>1</v>
      </c>
      <c r="H3">
        <v>4</v>
      </c>
      <c r="I3">
        <v>19</v>
      </c>
      <c r="J3">
        <v>10</v>
      </c>
      <c r="K3">
        <v>1</v>
      </c>
      <c r="L3">
        <v>3</v>
      </c>
      <c r="M3">
        <v>11</v>
      </c>
      <c r="N3">
        <v>3</v>
      </c>
      <c r="O3">
        <v>1</v>
      </c>
      <c r="P3">
        <v>6</v>
      </c>
      <c r="Q3">
        <v>4</v>
      </c>
      <c r="R3">
        <v>4</v>
      </c>
    </row>
    <row r="4" spans="1:18" x14ac:dyDescent="0.2">
      <c r="A4" t="s">
        <v>5</v>
      </c>
      <c r="B4">
        <v>9</v>
      </c>
      <c r="C4" t="s">
        <v>88</v>
      </c>
      <c r="F4">
        <v>1</v>
      </c>
      <c r="G4">
        <v>10</v>
      </c>
      <c r="H4">
        <v>12</v>
      </c>
      <c r="I4">
        <v>16</v>
      </c>
      <c r="J4">
        <v>16</v>
      </c>
      <c r="K4">
        <v>5</v>
      </c>
      <c r="L4">
        <v>6</v>
      </c>
      <c r="M4">
        <v>19</v>
      </c>
      <c r="N4">
        <v>3</v>
      </c>
      <c r="O4">
        <v>2</v>
      </c>
      <c r="P4">
        <v>10</v>
      </c>
      <c r="Q4">
        <v>8</v>
      </c>
      <c r="R4">
        <v>6</v>
      </c>
    </row>
    <row r="5" spans="1:18" x14ac:dyDescent="0.2">
      <c r="A5" t="s">
        <v>106</v>
      </c>
      <c r="B5">
        <v>15</v>
      </c>
      <c r="C5" t="s">
        <v>102</v>
      </c>
      <c r="E5">
        <v>2</v>
      </c>
    </row>
    <row r="6" spans="1:18" x14ac:dyDescent="0.2">
      <c r="A6" t="s">
        <v>326</v>
      </c>
      <c r="B6">
        <v>17</v>
      </c>
      <c r="C6" t="s">
        <v>323</v>
      </c>
      <c r="K6">
        <v>1</v>
      </c>
    </row>
    <row r="7" spans="1:18" x14ac:dyDescent="0.2">
      <c r="A7" t="s">
        <v>150</v>
      </c>
      <c r="B7">
        <v>18</v>
      </c>
      <c r="C7" t="s">
        <v>91</v>
      </c>
      <c r="D7">
        <v>1</v>
      </c>
      <c r="F7">
        <v>10</v>
      </c>
      <c r="G7">
        <v>24</v>
      </c>
      <c r="H7">
        <v>24</v>
      </c>
      <c r="I7">
        <v>34</v>
      </c>
      <c r="J7">
        <v>23</v>
      </c>
      <c r="K7">
        <v>10</v>
      </c>
      <c r="L7">
        <v>13</v>
      </c>
      <c r="M7">
        <v>12</v>
      </c>
      <c r="N7">
        <v>14</v>
      </c>
      <c r="O7">
        <v>8</v>
      </c>
      <c r="P7">
        <v>20</v>
      </c>
      <c r="Q7">
        <v>21</v>
      </c>
      <c r="R7">
        <v>8</v>
      </c>
    </row>
    <row r="8" spans="1:18" x14ac:dyDescent="0.2">
      <c r="A8" t="s">
        <v>164</v>
      </c>
      <c r="B8">
        <v>22</v>
      </c>
      <c r="C8" t="s">
        <v>117</v>
      </c>
      <c r="I8">
        <v>1</v>
      </c>
      <c r="K8">
        <v>2</v>
      </c>
      <c r="L8">
        <v>3</v>
      </c>
      <c r="M8">
        <v>1</v>
      </c>
      <c r="O8">
        <v>2</v>
      </c>
      <c r="P8">
        <v>2</v>
      </c>
      <c r="Q8">
        <v>1</v>
      </c>
      <c r="R8">
        <v>4</v>
      </c>
    </row>
    <row r="9" spans="1:18" x14ac:dyDescent="0.2">
      <c r="A9" t="s">
        <v>280</v>
      </c>
      <c r="B9">
        <v>25</v>
      </c>
      <c r="C9" t="s">
        <v>154</v>
      </c>
      <c r="D9">
        <v>10</v>
      </c>
      <c r="E9">
        <v>3</v>
      </c>
      <c r="G9">
        <v>3</v>
      </c>
      <c r="H9">
        <v>4</v>
      </c>
      <c r="I9">
        <v>1</v>
      </c>
      <c r="J9">
        <v>8</v>
      </c>
      <c r="K9">
        <v>5</v>
      </c>
      <c r="L9">
        <v>3</v>
      </c>
      <c r="M9">
        <v>4</v>
      </c>
      <c r="N9">
        <v>3</v>
      </c>
      <c r="O9">
        <v>2</v>
      </c>
      <c r="P9">
        <v>3</v>
      </c>
      <c r="Q9">
        <v>3</v>
      </c>
      <c r="R9">
        <v>4</v>
      </c>
    </row>
    <row r="10" spans="1:18" x14ac:dyDescent="0.2">
      <c r="A10" t="s">
        <v>36</v>
      </c>
      <c r="B10">
        <v>25</v>
      </c>
      <c r="C10" t="s">
        <v>154</v>
      </c>
      <c r="N10">
        <v>1</v>
      </c>
      <c r="P10">
        <v>1</v>
      </c>
    </row>
    <row r="11" spans="1:18" x14ac:dyDescent="0.2">
      <c r="A11" t="s">
        <v>287</v>
      </c>
      <c r="B11">
        <v>25</v>
      </c>
      <c r="C11" t="s">
        <v>154</v>
      </c>
      <c r="N11">
        <v>1</v>
      </c>
    </row>
    <row r="12" spans="1:18" x14ac:dyDescent="0.2">
      <c r="A12" t="s">
        <v>28</v>
      </c>
      <c r="B12">
        <v>26</v>
      </c>
      <c r="C12" t="s">
        <v>144</v>
      </c>
      <c r="D12">
        <v>3</v>
      </c>
      <c r="E12">
        <v>1</v>
      </c>
      <c r="G12">
        <v>2</v>
      </c>
      <c r="H12">
        <v>1</v>
      </c>
      <c r="L12">
        <v>1</v>
      </c>
      <c r="O12">
        <v>1</v>
      </c>
    </row>
    <row r="13" spans="1:18" x14ac:dyDescent="0.2">
      <c r="A13" t="s">
        <v>222</v>
      </c>
      <c r="B13">
        <v>27</v>
      </c>
      <c r="C13" t="s">
        <v>148</v>
      </c>
      <c r="D13">
        <v>16</v>
      </c>
      <c r="E13">
        <v>36</v>
      </c>
      <c r="F13">
        <v>14</v>
      </c>
      <c r="G13">
        <v>11</v>
      </c>
      <c r="H13">
        <v>5</v>
      </c>
      <c r="I13">
        <v>3</v>
      </c>
      <c r="J13">
        <v>7</v>
      </c>
      <c r="K13">
        <v>21</v>
      </c>
      <c r="L13">
        <v>17</v>
      </c>
      <c r="M13">
        <v>13</v>
      </c>
      <c r="N13">
        <v>11</v>
      </c>
      <c r="O13">
        <v>2</v>
      </c>
      <c r="P13">
        <v>10</v>
      </c>
      <c r="Q13">
        <v>11</v>
      </c>
      <c r="R13">
        <v>18</v>
      </c>
    </row>
    <row r="14" spans="1:18" x14ac:dyDescent="0.2">
      <c r="A14" t="s">
        <v>29</v>
      </c>
      <c r="B14">
        <v>29</v>
      </c>
      <c r="C14" t="s">
        <v>137</v>
      </c>
      <c r="K14">
        <v>1</v>
      </c>
      <c r="N14">
        <v>1</v>
      </c>
    </row>
    <row r="15" spans="1:18" x14ac:dyDescent="0.2">
      <c r="A15" t="s">
        <v>354</v>
      </c>
      <c r="B15">
        <v>29</v>
      </c>
      <c r="C15" t="s">
        <v>137</v>
      </c>
      <c r="D15">
        <v>1</v>
      </c>
      <c r="F15">
        <v>1</v>
      </c>
      <c r="H15">
        <v>1</v>
      </c>
      <c r="I15">
        <v>1</v>
      </c>
    </row>
    <row r="16" spans="1:18" x14ac:dyDescent="0.2">
      <c r="A16" t="s">
        <v>327</v>
      </c>
      <c r="B16">
        <v>30</v>
      </c>
      <c r="C16" t="s">
        <v>129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N16">
        <v>1</v>
      </c>
      <c r="R16">
        <v>3</v>
      </c>
    </row>
    <row r="17" spans="1:18" x14ac:dyDescent="0.2">
      <c r="A17" t="s">
        <v>26</v>
      </c>
      <c r="B17">
        <v>30</v>
      </c>
      <c r="C17" t="s">
        <v>129</v>
      </c>
      <c r="F17">
        <v>5</v>
      </c>
      <c r="G17">
        <v>3</v>
      </c>
      <c r="H17">
        <v>1</v>
      </c>
      <c r="I17">
        <v>1</v>
      </c>
      <c r="J17">
        <v>3</v>
      </c>
      <c r="K17">
        <v>1</v>
      </c>
      <c r="M17">
        <v>4</v>
      </c>
      <c r="P17">
        <v>1</v>
      </c>
    </row>
    <row r="18" spans="1:18" x14ac:dyDescent="0.2">
      <c r="A18" t="s">
        <v>31</v>
      </c>
      <c r="B18">
        <v>31</v>
      </c>
      <c r="C18" t="s">
        <v>134</v>
      </c>
      <c r="D18">
        <v>18</v>
      </c>
      <c r="E18">
        <v>1</v>
      </c>
      <c r="F18">
        <v>2</v>
      </c>
      <c r="I18">
        <v>1</v>
      </c>
    </row>
    <row r="19" spans="1:18" x14ac:dyDescent="0.2">
      <c r="A19" t="s">
        <v>317</v>
      </c>
      <c r="B19">
        <v>33</v>
      </c>
      <c r="C19" t="s">
        <v>292</v>
      </c>
      <c r="L19">
        <v>1</v>
      </c>
      <c r="P19">
        <v>2</v>
      </c>
      <c r="Q19">
        <v>3</v>
      </c>
    </row>
    <row r="20" spans="1:18" x14ac:dyDescent="0.2">
      <c r="A20" t="s">
        <v>186</v>
      </c>
      <c r="B20">
        <v>35</v>
      </c>
      <c r="C20" t="s">
        <v>122</v>
      </c>
      <c r="E20">
        <v>1</v>
      </c>
      <c r="J20">
        <v>1</v>
      </c>
    </row>
    <row r="21" spans="1:18" x14ac:dyDescent="0.2">
      <c r="A21" t="s">
        <v>7</v>
      </c>
      <c r="B21">
        <v>36</v>
      </c>
      <c r="C21" t="s">
        <v>156</v>
      </c>
      <c r="D21">
        <v>13</v>
      </c>
      <c r="E21">
        <v>18</v>
      </c>
      <c r="F21">
        <v>11</v>
      </c>
      <c r="G21">
        <v>5</v>
      </c>
      <c r="H21">
        <v>12</v>
      </c>
      <c r="I21">
        <v>2</v>
      </c>
      <c r="J21">
        <v>1</v>
      </c>
      <c r="K21">
        <v>9</v>
      </c>
      <c r="L21">
        <v>16</v>
      </c>
      <c r="M21">
        <v>2</v>
      </c>
      <c r="N21">
        <v>21</v>
      </c>
      <c r="O21">
        <v>5</v>
      </c>
      <c r="P21">
        <v>31</v>
      </c>
      <c r="Q21">
        <v>12</v>
      </c>
      <c r="R21">
        <v>24</v>
      </c>
    </row>
    <row r="22" spans="1:18" x14ac:dyDescent="0.2">
      <c r="A22" t="s">
        <v>27</v>
      </c>
      <c r="B22">
        <v>37</v>
      </c>
      <c r="C22" t="s">
        <v>131</v>
      </c>
      <c r="D22">
        <v>1</v>
      </c>
      <c r="E22">
        <v>2</v>
      </c>
      <c r="F22">
        <v>6</v>
      </c>
      <c r="G22">
        <v>6</v>
      </c>
      <c r="H22">
        <v>4</v>
      </c>
      <c r="J22">
        <v>3</v>
      </c>
      <c r="L22">
        <v>2</v>
      </c>
      <c r="N22">
        <v>2</v>
      </c>
      <c r="O22">
        <v>5</v>
      </c>
      <c r="P22">
        <v>1</v>
      </c>
      <c r="Q22">
        <v>2</v>
      </c>
      <c r="R22">
        <v>3</v>
      </c>
    </row>
    <row r="23" spans="1:18" x14ac:dyDescent="0.2">
      <c r="A23" t="s">
        <v>311</v>
      </c>
      <c r="B23">
        <v>38</v>
      </c>
      <c r="C23" t="s">
        <v>171</v>
      </c>
      <c r="D23">
        <v>1</v>
      </c>
      <c r="G23">
        <v>1</v>
      </c>
      <c r="K23">
        <v>1</v>
      </c>
      <c r="O23">
        <v>1</v>
      </c>
      <c r="Q23">
        <v>1</v>
      </c>
    </row>
    <row r="24" spans="1:18" x14ac:dyDescent="0.2">
      <c r="A24" t="s">
        <v>25</v>
      </c>
      <c r="B24">
        <v>39</v>
      </c>
      <c r="C24" t="s">
        <v>333</v>
      </c>
      <c r="M24">
        <v>2</v>
      </c>
    </row>
    <row r="25" spans="1:18" x14ac:dyDescent="0.2">
      <c r="A25" t="s">
        <v>11</v>
      </c>
      <c r="B25">
        <v>40</v>
      </c>
      <c r="C25" t="s">
        <v>96</v>
      </c>
      <c r="G25">
        <v>4</v>
      </c>
      <c r="H25">
        <v>1</v>
      </c>
      <c r="L25">
        <v>1</v>
      </c>
      <c r="M25">
        <v>3</v>
      </c>
      <c r="N25">
        <v>1</v>
      </c>
      <c r="O25">
        <v>4</v>
      </c>
      <c r="P25">
        <v>1</v>
      </c>
      <c r="Q25">
        <v>1</v>
      </c>
      <c r="R25">
        <v>3</v>
      </c>
    </row>
    <row r="26" spans="1:18" x14ac:dyDescent="0.2">
      <c r="A26" t="s">
        <v>346</v>
      </c>
      <c r="B26">
        <v>42</v>
      </c>
      <c r="C26" t="s">
        <v>140</v>
      </c>
      <c r="F26">
        <v>1</v>
      </c>
      <c r="I26">
        <v>1</v>
      </c>
      <c r="L26">
        <v>1</v>
      </c>
      <c r="O26">
        <v>1</v>
      </c>
    </row>
    <row r="27" spans="1:18" x14ac:dyDescent="0.2">
      <c r="A27" t="s">
        <v>161</v>
      </c>
      <c r="B27">
        <v>43</v>
      </c>
      <c r="C27" t="s">
        <v>162</v>
      </c>
      <c r="F27">
        <v>6</v>
      </c>
      <c r="G27">
        <v>1</v>
      </c>
      <c r="H27">
        <v>4</v>
      </c>
      <c r="I27">
        <v>3</v>
      </c>
      <c r="J27">
        <v>1</v>
      </c>
      <c r="K27">
        <v>2</v>
      </c>
      <c r="L27">
        <v>1</v>
      </c>
      <c r="M27">
        <v>2</v>
      </c>
      <c r="O27">
        <v>1</v>
      </c>
    </row>
    <row r="28" spans="1:18" x14ac:dyDescent="0.2">
      <c r="A28" t="s">
        <v>34</v>
      </c>
      <c r="B28">
        <v>44</v>
      </c>
      <c r="C28" t="s">
        <v>364</v>
      </c>
      <c r="F28">
        <v>1</v>
      </c>
      <c r="R28">
        <v>1</v>
      </c>
    </row>
    <row r="29" spans="1:18" x14ac:dyDescent="0.2">
      <c r="A29" t="s">
        <v>112</v>
      </c>
      <c r="B29">
        <v>46</v>
      </c>
      <c r="C29" t="s">
        <v>113</v>
      </c>
      <c r="D29">
        <v>27</v>
      </c>
      <c r="E29">
        <v>20</v>
      </c>
      <c r="F29">
        <v>32</v>
      </c>
      <c r="G29">
        <v>23</v>
      </c>
      <c r="H29">
        <v>18</v>
      </c>
      <c r="J29">
        <v>4</v>
      </c>
      <c r="K29">
        <v>31</v>
      </c>
      <c r="L29">
        <v>23</v>
      </c>
      <c r="M29">
        <v>12</v>
      </c>
      <c r="N29">
        <v>16</v>
      </c>
      <c r="O29">
        <v>4</v>
      </c>
      <c r="P29">
        <v>11</v>
      </c>
      <c r="Q29">
        <v>8</v>
      </c>
      <c r="R29">
        <v>11</v>
      </c>
    </row>
    <row r="30" spans="1:18" x14ac:dyDescent="0.2">
      <c r="A30" t="s">
        <v>4</v>
      </c>
      <c r="B30">
        <v>47</v>
      </c>
      <c r="C30" t="s">
        <v>89</v>
      </c>
      <c r="D30">
        <v>5</v>
      </c>
      <c r="E30">
        <v>8</v>
      </c>
      <c r="G30">
        <v>14</v>
      </c>
      <c r="H30">
        <v>10</v>
      </c>
      <c r="I30">
        <v>10</v>
      </c>
      <c r="J30">
        <v>17</v>
      </c>
      <c r="K30">
        <v>8</v>
      </c>
      <c r="L30">
        <v>8</v>
      </c>
      <c r="M30">
        <v>13</v>
      </c>
      <c r="N30">
        <v>14</v>
      </c>
      <c r="O30">
        <v>4</v>
      </c>
      <c r="P30">
        <v>7</v>
      </c>
      <c r="Q30">
        <v>24</v>
      </c>
      <c r="R30">
        <v>12</v>
      </c>
    </row>
    <row r="31" spans="1:18" x14ac:dyDescent="0.2">
      <c r="A31" t="s">
        <v>223</v>
      </c>
      <c r="B31">
        <v>49</v>
      </c>
      <c r="C31" t="s">
        <v>216</v>
      </c>
      <c r="E31">
        <v>1</v>
      </c>
    </row>
    <row r="32" spans="1:18" x14ac:dyDescent="0.2">
      <c r="A32" t="s">
        <v>208</v>
      </c>
      <c r="B32">
        <v>50</v>
      </c>
      <c r="C32" t="s">
        <v>125</v>
      </c>
      <c r="G32">
        <v>4</v>
      </c>
      <c r="H32">
        <v>1</v>
      </c>
      <c r="I32">
        <v>1</v>
      </c>
      <c r="N32">
        <v>1</v>
      </c>
      <c r="O32">
        <v>2</v>
      </c>
      <c r="Q32">
        <v>1</v>
      </c>
    </row>
    <row r="33" spans="1:18" x14ac:dyDescent="0.2">
      <c r="A33" t="s">
        <v>415</v>
      </c>
      <c r="B33">
        <v>52</v>
      </c>
      <c r="C33" t="s">
        <v>176</v>
      </c>
      <c r="D33">
        <v>6</v>
      </c>
      <c r="E33">
        <v>4</v>
      </c>
      <c r="F33">
        <v>1</v>
      </c>
      <c r="G33">
        <v>1</v>
      </c>
      <c r="I33">
        <v>3</v>
      </c>
      <c r="Q33">
        <v>1</v>
      </c>
    </row>
    <row r="35" spans="1:18" x14ac:dyDescent="0.2">
      <c r="C35" t="s">
        <v>40</v>
      </c>
      <c r="D35">
        <f>SUM(D2:D33)</f>
        <v>102</v>
      </c>
      <c r="E35">
        <f t="shared" ref="E35:R35" si="0">SUM(E2:E33)</f>
        <v>98</v>
      </c>
      <c r="F35">
        <f t="shared" si="0"/>
        <v>93</v>
      </c>
      <c r="G35">
        <f t="shared" si="0"/>
        <v>114</v>
      </c>
      <c r="H35">
        <f t="shared" si="0"/>
        <v>103</v>
      </c>
      <c r="I35">
        <f t="shared" si="0"/>
        <v>98</v>
      </c>
      <c r="J35">
        <f t="shared" si="0"/>
        <v>95</v>
      </c>
      <c r="K35">
        <f t="shared" si="0"/>
        <v>100</v>
      </c>
      <c r="L35">
        <f t="shared" si="0"/>
        <v>100</v>
      </c>
      <c r="M35">
        <f t="shared" si="0"/>
        <v>98</v>
      </c>
      <c r="N35">
        <f t="shared" si="0"/>
        <v>93</v>
      </c>
      <c r="O35">
        <f t="shared" si="0"/>
        <v>45</v>
      </c>
      <c r="P35">
        <f t="shared" si="0"/>
        <v>106</v>
      </c>
      <c r="Q35">
        <f t="shared" si="0"/>
        <v>101</v>
      </c>
      <c r="R35">
        <f t="shared" si="0"/>
        <v>101</v>
      </c>
    </row>
    <row r="37" spans="1:18" x14ac:dyDescent="0.2">
      <c r="C37" s="2" t="s">
        <v>457</v>
      </c>
      <c r="D37" s="2">
        <v>9</v>
      </c>
      <c r="E37" s="2">
        <v>19</v>
      </c>
      <c r="F37" s="2">
        <v>29</v>
      </c>
      <c r="G37" s="2">
        <v>39</v>
      </c>
      <c r="H37" s="2">
        <v>50</v>
      </c>
      <c r="I37" s="2">
        <v>59</v>
      </c>
      <c r="J37" s="2">
        <v>69</v>
      </c>
      <c r="K37" s="2">
        <v>79</v>
      </c>
      <c r="L37" s="2">
        <v>89</v>
      </c>
      <c r="M37" s="2">
        <v>100</v>
      </c>
      <c r="N37" s="2">
        <v>109</v>
      </c>
      <c r="O37" s="2">
        <v>119</v>
      </c>
      <c r="P37" s="2">
        <v>129</v>
      </c>
      <c r="Q37" s="2">
        <v>139</v>
      </c>
      <c r="R37" s="2">
        <v>149</v>
      </c>
    </row>
    <row r="38" spans="1:18" x14ac:dyDescent="0.2">
      <c r="C38" t="s">
        <v>113</v>
      </c>
      <c r="D38">
        <f>SUMIF($C$2:$C$33,$C38,D$2:D$33)</f>
        <v>27</v>
      </c>
      <c r="E38">
        <f t="shared" ref="E38:R53" si="1">SUMIF($C$2:$C$33,$C38,E$2:E$33)</f>
        <v>20</v>
      </c>
      <c r="F38">
        <f t="shared" si="1"/>
        <v>32</v>
      </c>
      <c r="G38">
        <f t="shared" si="1"/>
        <v>23</v>
      </c>
      <c r="H38">
        <f t="shared" si="1"/>
        <v>18</v>
      </c>
      <c r="I38">
        <f t="shared" si="1"/>
        <v>0</v>
      </c>
      <c r="J38">
        <f t="shared" si="1"/>
        <v>4</v>
      </c>
      <c r="K38">
        <f t="shared" si="1"/>
        <v>31</v>
      </c>
      <c r="L38">
        <f t="shared" si="1"/>
        <v>23</v>
      </c>
      <c r="M38">
        <f t="shared" si="1"/>
        <v>12</v>
      </c>
      <c r="N38">
        <f t="shared" si="1"/>
        <v>16</v>
      </c>
      <c r="O38">
        <f t="shared" si="1"/>
        <v>4</v>
      </c>
      <c r="P38">
        <f t="shared" si="1"/>
        <v>11</v>
      </c>
      <c r="Q38">
        <f t="shared" si="1"/>
        <v>8</v>
      </c>
      <c r="R38">
        <f t="shared" si="1"/>
        <v>11</v>
      </c>
    </row>
    <row r="39" spans="1:18" x14ac:dyDescent="0.2">
      <c r="C39" t="s">
        <v>88</v>
      </c>
      <c r="D39">
        <f t="shared" ref="D39:R64" si="2">SUMIF($C$2:$C$33,$C39,D$2:D$33)</f>
        <v>0</v>
      </c>
      <c r="E39">
        <f t="shared" si="1"/>
        <v>0</v>
      </c>
      <c r="F39">
        <f t="shared" si="1"/>
        <v>2</v>
      </c>
      <c r="G39">
        <f t="shared" si="1"/>
        <v>11</v>
      </c>
      <c r="H39">
        <f t="shared" si="1"/>
        <v>16</v>
      </c>
      <c r="I39">
        <f t="shared" si="1"/>
        <v>35</v>
      </c>
      <c r="J39">
        <f t="shared" si="1"/>
        <v>26</v>
      </c>
      <c r="K39">
        <f t="shared" si="1"/>
        <v>6</v>
      </c>
      <c r="L39">
        <f t="shared" si="1"/>
        <v>9</v>
      </c>
      <c r="M39">
        <f t="shared" si="1"/>
        <v>30</v>
      </c>
      <c r="N39">
        <f t="shared" si="1"/>
        <v>6</v>
      </c>
      <c r="O39">
        <f t="shared" si="1"/>
        <v>3</v>
      </c>
      <c r="P39">
        <f t="shared" si="1"/>
        <v>16</v>
      </c>
      <c r="Q39">
        <f t="shared" si="1"/>
        <v>12</v>
      </c>
      <c r="R39">
        <f t="shared" si="1"/>
        <v>10</v>
      </c>
    </row>
    <row r="40" spans="1:18" x14ac:dyDescent="0.2">
      <c r="C40" t="s">
        <v>91</v>
      </c>
      <c r="D40">
        <f t="shared" si="2"/>
        <v>1</v>
      </c>
      <c r="E40">
        <f t="shared" si="1"/>
        <v>0</v>
      </c>
      <c r="F40">
        <f t="shared" si="1"/>
        <v>10</v>
      </c>
      <c r="G40">
        <f t="shared" si="1"/>
        <v>24</v>
      </c>
      <c r="H40">
        <f t="shared" si="1"/>
        <v>24</v>
      </c>
      <c r="I40">
        <f t="shared" si="1"/>
        <v>34</v>
      </c>
      <c r="J40">
        <f t="shared" si="1"/>
        <v>23</v>
      </c>
      <c r="K40">
        <f t="shared" si="1"/>
        <v>10</v>
      </c>
      <c r="L40">
        <f t="shared" si="1"/>
        <v>13</v>
      </c>
      <c r="M40">
        <f t="shared" si="1"/>
        <v>12</v>
      </c>
      <c r="N40">
        <f t="shared" si="1"/>
        <v>14</v>
      </c>
      <c r="O40">
        <f t="shared" si="1"/>
        <v>8</v>
      </c>
      <c r="P40">
        <f t="shared" si="1"/>
        <v>20</v>
      </c>
      <c r="Q40">
        <f t="shared" si="1"/>
        <v>21</v>
      </c>
      <c r="R40">
        <f t="shared" si="1"/>
        <v>8</v>
      </c>
    </row>
    <row r="41" spans="1:18" x14ac:dyDescent="0.2">
      <c r="C41" t="s">
        <v>89</v>
      </c>
      <c r="D41">
        <f t="shared" si="2"/>
        <v>5</v>
      </c>
      <c r="E41">
        <f t="shared" si="1"/>
        <v>8</v>
      </c>
      <c r="F41">
        <f t="shared" si="1"/>
        <v>0</v>
      </c>
      <c r="G41">
        <f t="shared" si="1"/>
        <v>14</v>
      </c>
      <c r="H41">
        <f t="shared" si="1"/>
        <v>10</v>
      </c>
      <c r="I41">
        <f t="shared" si="1"/>
        <v>10</v>
      </c>
      <c r="J41">
        <f t="shared" si="1"/>
        <v>17</v>
      </c>
      <c r="K41">
        <f t="shared" si="1"/>
        <v>8</v>
      </c>
      <c r="L41">
        <f t="shared" si="1"/>
        <v>8</v>
      </c>
      <c r="M41">
        <f t="shared" si="1"/>
        <v>13</v>
      </c>
      <c r="N41">
        <f t="shared" si="1"/>
        <v>14</v>
      </c>
      <c r="O41">
        <f t="shared" si="1"/>
        <v>4</v>
      </c>
      <c r="P41">
        <f t="shared" si="1"/>
        <v>7</v>
      </c>
      <c r="Q41">
        <f t="shared" si="1"/>
        <v>24</v>
      </c>
      <c r="R41">
        <f t="shared" si="1"/>
        <v>12</v>
      </c>
    </row>
    <row r="42" spans="1:18" x14ac:dyDescent="0.2">
      <c r="C42" t="s">
        <v>96</v>
      </c>
      <c r="D42">
        <f t="shared" si="2"/>
        <v>0</v>
      </c>
      <c r="E42">
        <f t="shared" si="1"/>
        <v>0</v>
      </c>
      <c r="F42">
        <f t="shared" si="1"/>
        <v>0</v>
      </c>
      <c r="G42">
        <f t="shared" si="1"/>
        <v>4</v>
      </c>
      <c r="H42">
        <f t="shared" si="1"/>
        <v>1</v>
      </c>
      <c r="I42">
        <f t="shared" si="1"/>
        <v>0</v>
      </c>
      <c r="J42">
        <f t="shared" si="1"/>
        <v>0</v>
      </c>
      <c r="K42">
        <f t="shared" si="1"/>
        <v>0</v>
      </c>
      <c r="L42">
        <f t="shared" si="1"/>
        <v>1</v>
      </c>
      <c r="M42">
        <f t="shared" si="1"/>
        <v>3</v>
      </c>
      <c r="N42">
        <f t="shared" si="1"/>
        <v>1</v>
      </c>
      <c r="O42">
        <f t="shared" si="1"/>
        <v>4</v>
      </c>
      <c r="P42">
        <f t="shared" si="1"/>
        <v>1</v>
      </c>
      <c r="Q42">
        <f t="shared" si="1"/>
        <v>1</v>
      </c>
      <c r="R42">
        <f t="shared" si="1"/>
        <v>3</v>
      </c>
    </row>
    <row r="43" spans="1:18" x14ac:dyDescent="0.2">
      <c r="C43" t="s">
        <v>117</v>
      </c>
      <c r="D43">
        <f t="shared" si="2"/>
        <v>0</v>
      </c>
      <c r="E43">
        <f t="shared" si="1"/>
        <v>0</v>
      </c>
      <c r="F43">
        <f t="shared" si="1"/>
        <v>0</v>
      </c>
      <c r="G43">
        <f t="shared" si="1"/>
        <v>0</v>
      </c>
      <c r="H43">
        <f t="shared" si="1"/>
        <v>0</v>
      </c>
      <c r="I43">
        <f t="shared" si="1"/>
        <v>1</v>
      </c>
      <c r="J43">
        <f t="shared" si="1"/>
        <v>0</v>
      </c>
      <c r="K43">
        <f t="shared" si="1"/>
        <v>2</v>
      </c>
      <c r="L43">
        <f t="shared" si="1"/>
        <v>3</v>
      </c>
      <c r="M43">
        <f t="shared" si="1"/>
        <v>1</v>
      </c>
      <c r="N43">
        <f t="shared" si="1"/>
        <v>0</v>
      </c>
      <c r="O43">
        <f t="shared" si="1"/>
        <v>2</v>
      </c>
      <c r="P43">
        <f t="shared" si="1"/>
        <v>2</v>
      </c>
      <c r="Q43">
        <f t="shared" si="1"/>
        <v>1</v>
      </c>
      <c r="R43">
        <f t="shared" si="1"/>
        <v>4</v>
      </c>
    </row>
    <row r="44" spans="1:18" x14ac:dyDescent="0.2">
      <c r="C44" t="s">
        <v>122</v>
      </c>
      <c r="D44">
        <f t="shared" si="2"/>
        <v>0</v>
      </c>
      <c r="E44">
        <f t="shared" si="1"/>
        <v>1</v>
      </c>
      <c r="F44">
        <f t="shared" si="1"/>
        <v>0</v>
      </c>
      <c r="G44">
        <f t="shared" si="1"/>
        <v>0</v>
      </c>
      <c r="H44">
        <f t="shared" si="1"/>
        <v>0</v>
      </c>
      <c r="I44">
        <f t="shared" si="1"/>
        <v>0</v>
      </c>
      <c r="J44">
        <f t="shared" si="1"/>
        <v>1</v>
      </c>
      <c r="K44">
        <f t="shared" si="1"/>
        <v>0</v>
      </c>
      <c r="L44">
        <f t="shared" si="1"/>
        <v>0</v>
      </c>
      <c r="M44">
        <f t="shared" si="1"/>
        <v>0</v>
      </c>
      <c r="N44">
        <f t="shared" si="1"/>
        <v>0</v>
      </c>
      <c r="O44">
        <f t="shared" si="1"/>
        <v>0</v>
      </c>
      <c r="P44">
        <f t="shared" si="1"/>
        <v>0</v>
      </c>
      <c r="Q44">
        <f t="shared" si="1"/>
        <v>0</v>
      </c>
      <c r="R44">
        <f t="shared" si="1"/>
        <v>0</v>
      </c>
    </row>
    <row r="45" spans="1:18" x14ac:dyDescent="0.2">
      <c r="C45" t="s">
        <v>125</v>
      </c>
      <c r="D45">
        <f t="shared" si="2"/>
        <v>0</v>
      </c>
      <c r="E45">
        <f t="shared" si="1"/>
        <v>0</v>
      </c>
      <c r="F45">
        <f t="shared" si="1"/>
        <v>0</v>
      </c>
      <c r="G45">
        <f t="shared" si="1"/>
        <v>4</v>
      </c>
      <c r="H45">
        <f t="shared" si="1"/>
        <v>1</v>
      </c>
      <c r="I45">
        <f t="shared" si="1"/>
        <v>1</v>
      </c>
      <c r="J45">
        <f t="shared" si="1"/>
        <v>0</v>
      </c>
      <c r="K45">
        <f t="shared" si="1"/>
        <v>0</v>
      </c>
      <c r="L45">
        <f t="shared" si="1"/>
        <v>0</v>
      </c>
      <c r="M45">
        <f t="shared" si="1"/>
        <v>0</v>
      </c>
      <c r="N45">
        <f t="shared" si="1"/>
        <v>1</v>
      </c>
      <c r="O45">
        <f t="shared" si="1"/>
        <v>2</v>
      </c>
      <c r="P45">
        <f t="shared" si="1"/>
        <v>0</v>
      </c>
      <c r="Q45">
        <f t="shared" si="1"/>
        <v>1</v>
      </c>
      <c r="R45">
        <f t="shared" si="1"/>
        <v>0</v>
      </c>
    </row>
    <row r="46" spans="1:18" x14ac:dyDescent="0.2">
      <c r="C46" t="s">
        <v>216</v>
      </c>
      <c r="D46">
        <f t="shared" si="2"/>
        <v>0</v>
      </c>
      <c r="E46">
        <f t="shared" si="1"/>
        <v>1</v>
      </c>
      <c r="F46">
        <f t="shared" si="1"/>
        <v>0</v>
      </c>
      <c r="G46">
        <f t="shared" si="1"/>
        <v>0</v>
      </c>
      <c r="H46">
        <f t="shared" si="1"/>
        <v>0</v>
      </c>
      <c r="I46">
        <f t="shared" si="1"/>
        <v>0</v>
      </c>
      <c r="J46">
        <f t="shared" si="1"/>
        <v>0</v>
      </c>
      <c r="K46">
        <f t="shared" si="1"/>
        <v>0</v>
      </c>
      <c r="L46">
        <f t="shared" si="1"/>
        <v>0</v>
      </c>
      <c r="M46">
        <f t="shared" si="1"/>
        <v>0</v>
      </c>
      <c r="N46">
        <f t="shared" si="1"/>
        <v>0</v>
      </c>
      <c r="O46">
        <f t="shared" si="1"/>
        <v>0</v>
      </c>
      <c r="P46">
        <f t="shared" si="1"/>
        <v>0</v>
      </c>
      <c r="Q46">
        <f t="shared" si="1"/>
        <v>0</v>
      </c>
      <c r="R46">
        <f t="shared" si="1"/>
        <v>0</v>
      </c>
    </row>
    <row r="47" spans="1:18" x14ac:dyDescent="0.2">
      <c r="C47" t="s">
        <v>148</v>
      </c>
      <c r="D47">
        <f t="shared" si="2"/>
        <v>16</v>
      </c>
      <c r="E47">
        <f t="shared" si="1"/>
        <v>36</v>
      </c>
      <c r="F47">
        <f t="shared" si="1"/>
        <v>14</v>
      </c>
      <c r="G47">
        <f t="shared" si="1"/>
        <v>11</v>
      </c>
      <c r="H47">
        <f t="shared" si="1"/>
        <v>5</v>
      </c>
      <c r="I47">
        <f t="shared" si="1"/>
        <v>3</v>
      </c>
      <c r="J47">
        <f t="shared" si="1"/>
        <v>7</v>
      </c>
      <c r="K47">
        <f t="shared" si="1"/>
        <v>21</v>
      </c>
      <c r="L47">
        <f t="shared" si="1"/>
        <v>17</v>
      </c>
      <c r="M47">
        <f t="shared" si="1"/>
        <v>13</v>
      </c>
      <c r="N47">
        <f t="shared" si="1"/>
        <v>11</v>
      </c>
      <c r="O47">
        <f t="shared" si="1"/>
        <v>2</v>
      </c>
      <c r="P47">
        <f t="shared" si="1"/>
        <v>10</v>
      </c>
      <c r="Q47">
        <f t="shared" si="1"/>
        <v>11</v>
      </c>
      <c r="R47">
        <f t="shared" si="1"/>
        <v>18</v>
      </c>
    </row>
    <row r="48" spans="1:18" x14ac:dyDescent="0.2">
      <c r="C48" t="s">
        <v>151</v>
      </c>
      <c r="D48">
        <f t="shared" si="2"/>
        <v>0</v>
      </c>
      <c r="E48">
        <f t="shared" si="1"/>
        <v>0</v>
      </c>
      <c r="F48">
        <f t="shared" si="1"/>
        <v>0</v>
      </c>
      <c r="G48">
        <f t="shared" si="1"/>
        <v>0</v>
      </c>
      <c r="H48">
        <f t="shared" si="1"/>
        <v>0</v>
      </c>
      <c r="I48">
        <f t="shared" si="1"/>
        <v>0</v>
      </c>
      <c r="J48">
        <f t="shared" si="1"/>
        <v>0</v>
      </c>
      <c r="K48">
        <f t="shared" si="1"/>
        <v>1</v>
      </c>
      <c r="L48">
        <f t="shared" si="1"/>
        <v>0</v>
      </c>
      <c r="M48">
        <f t="shared" si="1"/>
        <v>0</v>
      </c>
      <c r="N48">
        <f t="shared" si="1"/>
        <v>0</v>
      </c>
      <c r="O48">
        <f t="shared" si="1"/>
        <v>0</v>
      </c>
      <c r="P48">
        <f t="shared" si="1"/>
        <v>0</v>
      </c>
      <c r="Q48">
        <f t="shared" si="1"/>
        <v>0</v>
      </c>
      <c r="R48">
        <f t="shared" si="1"/>
        <v>0</v>
      </c>
    </row>
    <row r="49" spans="3:18" x14ac:dyDescent="0.2">
      <c r="C49" t="s">
        <v>154</v>
      </c>
      <c r="D49">
        <f t="shared" si="2"/>
        <v>10</v>
      </c>
      <c r="E49">
        <f t="shared" si="1"/>
        <v>3</v>
      </c>
      <c r="F49">
        <f t="shared" si="1"/>
        <v>0</v>
      </c>
      <c r="G49">
        <f t="shared" si="1"/>
        <v>3</v>
      </c>
      <c r="H49">
        <f t="shared" si="1"/>
        <v>4</v>
      </c>
      <c r="I49">
        <f t="shared" si="1"/>
        <v>1</v>
      </c>
      <c r="J49">
        <f t="shared" si="1"/>
        <v>8</v>
      </c>
      <c r="K49">
        <f t="shared" si="1"/>
        <v>5</v>
      </c>
      <c r="L49">
        <f t="shared" si="1"/>
        <v>3</v>
      </c>
      <c r="M49">
        <f t="shared" si="1"/>
        <v>4</v>
      </c>
      <c r="N49">
        <f t="shared" si="1"/>
        <v>5</v>
      </c>
      <c r="O49">
        <f t="shared" si="1"/>
        <v>2</v>
      </c>
      <c r="P49">
        <f t="shared" si="1"/>
        <v>4</v>
      </c>
      <c r="Q49">
        <f t="shared" si="1"/>
        <v>3</v>
      </c>
      <c r="R49">
        <f t="shared" si="1"/>
        <v>4</v>
      </c>
    </row>
    <row r="50" spans="3:18" x14ac:dyDescent="0.2">
      <c r="C50" t="s">
        <v>156</v>
      </c>
      <c r="D50">
        <f t="shared" si="2"/>
        <v>13</v>
      </c>
      <c r="E50">
        <f t="shared" si="1"/>
        <v>18</v>
      </c>
      <c r="F50">
        <f t="shared" si="1"/>
        <v>11</v>
      </c>
      <c r="G50">
        <f t="shared" si="1"/>
        <v>5</v>
      </c>
      <c r="H50">
        <f t="shared" si="1"/>
        <v>12</v>
      </c>
      <c r="I50">
        <f t="shared" si="1"/>
        <v>2</v>
      </c>
      <c r="J50">
        <f t="shared" si="1"/>
        <v>1</v>
      </c>
      <c r="K50">
        <f t="shared" si="1"/>
        <v>9</v>
      </c>
      <c r="L50">
        <f t="shared" si="1"/>
        <v>16</v>
      </c>
      <c r="M50">
        <f t="shared" si="1"/>
        <v>2</v>
      </c>
      <c r="N50">
        <f t="shared" si="1"/>
        <v>21</v>
      </c>
      <c r="O50">
        <f t="shared" si="1"/>
        <v>5</v>
      </c>
      <c r="P50">
        <f t="shared" si="1"/>
        <v>31</v>
      </c>
      <c r="Q50">
        <f t="shared" si="1"/>
        <v>12</v>
      </c>
      <c r="R50">
        <f t="shared" si="1"/>
        <v>24</v>
      </c>
    </row>
    <row r="51" spans="3:18" x14ac:dyDescent="0.2">
      <c r="C51" t="s">
        <v>171</v>
      </c>
      <c r="D51">
        <f t="shared" si="2"/>
        <v>1</v>
      </c>
      <c r="E51">
        <f t="shared" si="1"/>
        <v>0</v>
      </c>
      <c r="F51">
        <f t="shared" si="1"/>
        <v>0</v>
      </c>
      <c r="G51">
        <f t="shared" si="1"/>
        <v>1</v>
      </c>
      <c r="H51">
        <f t="shared" si="1"/>
        <v>0</v>
      </c>
      <c r="I51">
        <f t="shared" si="1"/>
        <v>0</v>
      </c>
      <c r="J51">
        <f t="shared" si="1"/>
        <v>0</v>
      </c>
      <c r="K51">
        <f t="shared" si="1"/>
        <v>1</v>
      </c>
      <c r="L51">
        <f t="shared" si="1"/>
        <v>0</v>
      </c>
      <c r="M51">
        <f t="shared" si="1"/>
        <v>0</v>
      </c>
      <c r="N51">
        <f t="shared" si="1"/>
        <v>0</v>
      </c>
      <c r="O51">
        <f t="shared" si="1"/>
        <v>1</v>
      </c>
      <c r="P51">
        <f t="shared" si="1"/>
        <v>0</v>
      </c>
      <c r="Q51">
        <f t="shared" si="1"/>
        <v>1</v>
      </c>
      <c r="R51">
        <f t="shared" si="1"/>
        <v>0</v>
      </c>
    </row>
    <row r="52" spans="3:18" x14ac:dyDescent="0.2">
      <c r="C52" t="s">
        <v>292</v>
      </c>
      <c r="D52">
        <f t="shared" si="2"/>
        <v>0</v>
      </c>
      <c r="E52">
        <f t="shared" si="1"/>
        <v>0</v>
      </c>
      <c r="F52">
        <f t="shared" si="1"/>
        <v>0</v>
      </c>
      <c r="G52">
        <f t="shared" si="1"/>
        <v>0</v>
      </c>
      <c r="H52">
        <f t="shared" si="1"/>
        <v>0</v>
      </c>
      <c r="I52">
        <f t="shared" si="1"/>
        <v>0</v>
      </c>
      <c r="J52">
        <f t="shared" si="1"/>
        <v>0</v>
      </c>
      <c r="K52">
        <f t="shared" si="1"/>
        <v>0</v>
      </c>
      <c r="L52">
        <f t="shared" si="1"/>
        <v>1</v>
      </c>
      <c r="M52">
        <f t="shared" si="1"/>
        <v>0</v>
      </c>
      <c r="N52">
        <f t="shared" si="1"/>
        <v>0</v>
      </c>
      <c r="O52">
        <f t="shared" si="1"/>
        <v>0</v>
      </c>
      <c r="P52">
        <f t="shared" si="1"/>
        <v>2</v>
      </c>
      <c r="Q52">
        <f t="shared" si="1"/>
        <v>3</v>
      </c>
      <c r="R52">
        <f t="shared" si="1"/>
        <v>0</v>
      </c>
    </row>
    <row r="53" spans="3:18" x14ac:dyDescent="0.2">
      <c r="C53" t="s">
        <v>102</v>
      </c>
      <c r="D53">
        <f t="shared" si="2"/>
        <v>0</v>
      </c>
      <c r="E53">
        <f t="shared" si="1"/>
        <v>2</v>
      </c>
      <c r="F53">
        <f t="shared" si="1"/>
        <v>0</v>
      </c>
      <c r="G53">
        <f t="shared" si="1"/>
        <v>0</v>
      </c>
      <c r="H53">
        <f t="shared" si="1"/>
        <v>0</v>
      </c>
      <c r="I53">
        <f t="shared" si="1"/>
        <v>0</v>
      </c>
      <c r="J53">
        <f t="shared" si="1"/>
        <v>0</v>
      </c>
      <c r="K53">
        <f t="shared" si="1"/>
        <v>0</v>
      </c>
      <c r="L53">
        <f t="shared" si="1"/>
        <v>0</v>
      </c>
      <c r="M53">
        <f t="shared" si="1"/>
        <v>0</v>
      </c>
      <c r="N53">
        <f t="shared" si="1"/>
        <v>0</v>
      </c>
      <c r="O53">
        <f t="shared" si="1"/>
        <v>0</v>
      </c>
      <c r="P53">
        <f t="shared" si="1"/>
        <v>0</v>
      </c>
      <c r="Q53">
        <f t="shared" si="1"/>
        <v>0</v>
      </c>
      <c r="R53">
        <f t="shared" si="1"/>
        <v>0</v>
      </c>
    </row>
    <row r="54" spans="3:18" x14ac:dyDescent="0.2">
      <c r="C54" t="s">
        <v>129</v>
      </c>
      <c r="D54">
        <f t="shared" si="2"/>
        <v>0</v>
      </c>
      <c r="E54">
        <f t="shared" si="2"/>
        <v>1</v>
      </c>
      <c r="F54">
        <f t="shared" si="2"/>
        <v>6</v>
      </c>
      <c r="G54">
        <f t="shared" si="2"/>
        <v>4</v>
      </c>
      <c r="H54">
        <f t="shared" si="2"/>
        <v>2</v>
      </c>
      <c r="I54">
        <f t="shared" si="2"/>
        <v>2</v>
      </c>
      <c r="J54">
        <f t="shared" si="2"/>
        <v>4</v>
      </c>
      <c r="K54">
        <f t="shared" si="2"/>
        <v>2</v>
      </c>
      <c r="L54">
        <f t="shared" si="2"/>
        <v>1</v>
      </c>
      <c r="M54">
        <f t="shared" si="2"/>
        <v>4</v>
      </c>
      <c r="N54">
        <f t="shared" si="2"/>
        <v>1</v>
      </c>
      <c r="O54">
        <f t="shared" si="2"/>
        <v>0</v>
      </c>
      <c r="P54">
        <f t="shared" si="2"/>
        <v>1</v>
      </c>
      <c r="Q54">
        <f t="shared" si="2"/>
        <v>0</v>
      </c>
      <c r="R54">
        <f t="shared" si="2"/>
        <v>3</v>
      </c>
    </row>
    <row r="55" spans="3:18" x14ac:dyDescent="0.2">
      <c r="C55" t="s">
        <v>333</v>
      </c>
      <c r="D55">
        <f t="shared" si="2"/>
        <v>0</v>
      </c>
      <c r="E55">
        <f t="shared" si="2"/>
        <v>0</v>
      </c>
      <c r="F55">
        <f t="shared" si="2"/>
        <v>0</v>
      </c>
      <c r="G55">
        <f t="shared" si="2"/>
        <v>0</v>
      </c>
      <c r="H55">
        <f t="shared" si="2"/>
        <v>0</v>
      </c>
      <c r="I55">
        <f t="shared" si="2"/>
        <v>0</v>
      </c>
      <c r="J55">
        <f t="shared" si="2"/>
        <v>0</v>
      </c>
      <c r="K55">
        <f t="shared" si="2"/>
        <v>0</v>
      </c>
      <c r="L55">
        <f t="shared" si="2"/>
        <v>0</v>
      </c>
      <c r="M55">
        <f t="shared" si="2"/>
        <v>2</v>
      </c>
      <c r="N55">
        <f t="shared" si="2"/>
        <v>0</v>
      </c>
      <c r="O55">
        <f t="shared" si="2"/>
        <v>0</v>
      </c>
      <c r="P55">
        <f t="shared" si="2"/>
        <v>0</v>
      </c>
      <c r="Q55">
        <f t="shared" si="2"/>
        <v>0</v>
      </c>
      <c r="R55">
        <f t="shared" si="2"/>
        <v>0</v>
      </c>
    </row>
    <row r="56" spans="3:18" x14ac:dyDescent="0.2">
      <c r="C56" t="s">
        <v>131</v>
      </c>
      <c r="D56">
        <f t="shared" si="2"/>
        <v>1</v>
      </c>
      <c r="E56">
        <f t="shared" si="2"/>
        <v>2</v>
      </c>
      <c r="F56">
        <f t="shared" si="2"/>
        <v>6</v>
      </c>
      <c r="G56">
        <f t="shared" si="2"/>
        <v>6</v>
      </c>
      <c r="H56">
        <f t="shared" si="2"/>
        <v>4</v>
      </c>
      <c r="I56">
        <f t="shared" si="2"/>
        <v>0</v>
      </c>
      <c r="J56">
        <f t="shared" si="2"/>
        <v>3</v>
      </c>
      <c r="K56">
        <f t="shared" si="2"/>
        <v>0</v>
      </c>
      <c r="L56">
        <f t="shared" si="2"/>
        <v>2</v>
      </c>
      <c r="M56">
        <f t="shared" si="2"/>
        <v>0</v>
      </c>
      <c r="N56">
        <f t="shared" si="2"/>
        <v>2</v>
      </c>
      <c r="O56">
        <f t="shared" si="2"/>
        <v>5</v>
      </c>
      <c r="P56">
        <f t="shared" si="2"/>
        <v>1</v>
      </c>
      <c r="Q56">
        <f t="shared" si="2"/>
        <v>2</v>
      </c>
      <c r="R56">
        <f t="shared" si="2"/>
        <v>3</v>
      </c>
    </row>
    <row r="57" spans="3:18" x14ac:dyDescent="0.2">
      <c r="C57" t="s">
        <v>144</v>
      </c>
      <c r="D57">
        <f t="shared" si="2"/>
        <v>3</v>
      </c>
      <c r="E57">
        <f t="shared" si="2"/>
        <v>1</v>
      </c>
      <c r="F57">
        <f t="shared" si="2"/>
        <v>0</v>
      </c>
      <c r="G57">
        <f t="shared" si="2"/>
        <v>2</v>
      </c>
      <c r="H57">
        <f t="shared" si="2"/>
        <v>1</v>
      </c>
      <c r="I57">
        <f t="shared" si="2"/>
        <v>0</v>
      </c>
      <c r="J57">
        <f t="shared" si="2"/>
        <v>0</v>
      </c>
      <c r="K57">
        <f t="shared" si="2"/>
        <v>0</v>
      </c>
      <c r="L57">
        <f t="shared" si="2"/>
        <v>1</v>
      </c>
      <c r="M57">
        <f t="shared" si="2"/>
        <v>0</v>
      </c>
      <c r="N57">
        <f t="shared" si="2"/>
        <v>0</v>
      </c>
      <c r="O57">
        <f t="shared" si="2"/>
        <v>1</v>
      </c>
      <c r="P57">
        <f t="shared" si="2"/>
        <v>0</v>
      </c>
      <c r="Q57">
        <f t="shared" si="2"/>
        <v>0</v>
      </c>
      <c r="R57">
        <f t="shared" si="2"/>
        <v>0</v>
      </c>
    </row>
    <row r="58" spans="3:18" x14ac:dyDescent="0.2">
      <c r="C58" t="s">
        <v>137</v>
      </c>
      <c r="D58">
        <f t="shared" si="2"/>
        <v>1</v>
      </c>
      <c r="E58">
        <f t="shared" si="2"/>
        <v>0</v>
      </c>
      <c r="F58">
        <f t="shared" si="2"/>
        <v>1</v>
      </c>
      <c r="G58">
        <f t="shared" si="2"/>
        <v>0</v>
      </c>
      <c r="H58">
        <f t="shared" si="2"/>
        <v>1</v>
      </c>
      <c r="I58">
        <f t="shared" si="2"/>
        <v>1</v>
      </c>
      <c r="J58">
        <f t="shared" si="2"/>
        <v>0</v>
      </c>
      <c r="K58">
        <f t="shared" si="2"/>
        <v>1</v>
      </c>
      <c r="L58">
        <f t="shared" si="2"/>
        <v>0</v>
      </c>
      <c r="M58">
        <f t="shared" si="2"/>
        <v>0</v>
      </c>
      <c r="N58">
        <f t="shared" si="2"/>
        <v>1</v>
      </c>
      <c r="O58">
        <f t="shared" si="2"/>
        <v>0</v>
      </c>
      <c r="P58">
        <f t="shared" si="2"/>
        <v>0</v>
      </c>
      <c r="Q58">
        <f t="shared" si="2"/>
        <v>0</v>
      </c>
      <c r="R58">
        <f t="shared" si="2"/>
        <v>0</v>
      </c>
    </row>
    <row r="59" spans="3:18" x14ac:dyDescent="0.2">
      <c r="C59" t="s">
        <v>140</v>
      </c>
      <c r="D59">
        <f t="shared" si="2"/>
        <v>0</v>
      </c>
      <c r="E59">
        <f t="shared" si="2"/>
        <v>0</v>
      </c>
      <c r="F59">
        <f t="shared" si="2"/>
        <v>1</v>
      </c>
      <c r="G59">
        <f t="shared" si="2"/>
        <v>0</v>
      </c>
      <c r="H59">
        <f t="shared" si="2"/>
        <v>0</v>
      </c>
      <c r="I59">
        <f t="shared" si="2"/>
        <v>1</v>
      </c>
      <c r="J59">
        <f t="shared" si="2"/>
        <v>0</v>
      </c>
      <c r="K59">
        <f t="shared" si="2"/>
        <v>0</v>
      </c>
      <c r="L59">
        <f t="shared" si="2"/>
        <v>1</v>
      </c>
      <c r="M59">
        <f t="shared" si="2"/>
        <v>0</v>
      </c>
      <c r="N59">
        <f t="shared" si="2"/>
        <v>0</v>
      </c>
      <c r="O59">
        <f t="shared" si="2"/>
        <v>1</v>
      </c>
      <c r="P59">
        <f t="shared" si="2"/>
        <v>0</v>
      </c>
      <c r="Q59">
        <f t="shared" si="2"/>
        <v>0</v>
      </c>
      <c r="R59">
        <f t="shared" si="2"/>
        <v>0</v>
      </c>
    </row>
    <row r="60" spans="3:18" x14ac:dyDescent="0.2">
      <c r="C60" t="s">
        <v>134</v>
      </c>
      <c r="D60">
        <f t="shared" si="2"/>
        <v>18</v>
      </c>
      <c r="E60">
        <f t="shared" si="2"/>
        <v>1</v>
      </c>
      <c r="F60">
        <f t="shared" si="2"/>
        <v>2</v>
      </c>
      <c r="G60">
        <f t="shared" si="2"/>
        <v>0</v>
      </c>
      <c r="H60">
        <f t="shared" si="2"/>
        <v>0</v>
      </c>
      <c r="I60">
        <f t="shared" si="2"/>
        <v>1</v>
      </c>
      <c r="J60">
        <f t="shared" si="2"/>
        <v>0</v>
      </c>
      <c r="K60">
        <f t="shared" si="2"/>
        <v>0</v>
      </c>
      <c r="L60">
        <f t="shared" si="2"/>
        <v>0</v>
      </c>
      <c r="M60">
        <f t="shared" si="2"/>
        <v>0</v>
      </c>
      <c r="N60">
        <f t="shared" si="2"/>
        <v>0</v>
      </c>
      <c r="O60">
        <f t="shared" si="2"/>
        <v>0</v>
      </c>
      <c r="P60">
        <f t="shared" si="2"/>
        <v>0</v>
      </c>
      <c r="Q60">
        <f t="shared" si="2"/>
        <v>0</v>
      </c>
      <c r="R60">
        <f t="shared" si="2"/>
        <v>0</v>
      </c>
    </row>
    <row r="61" spans="3:18" x14ac:dyDescent="0.2">
      <c r="C61" t="s">
        <v>162</v>
      </c>
      <c r="D61">
        <f t="shared" si="2"/>
        <v>0</v>
      </c>
      <c r="E61">
        <f t="shared" si="2"/>
        <v>0</v>
      </c>
      <c r="F61">
        <f t="shared" si="2"/>
        <v>6</v>
      </c>
      <c r="G61">
        <f t="shared" si="2"/>
        <v>1</v>
      </c>
      <c r="H61">
        <f t="shared" si="2"/>
        <v>4</v>
      </c>
      <c r="I61">
        <f t="shared" si="2"/>
        <v>3</v>
      </c>
      <c r="J61">
        <f t="shared" si="2"/>
        <v>1</v>
      </c>
      <c r="K61">
        <f t="shared" si="2"/>
        <v>2</v>
      </c>
      <c r="L61">
        <f t="shared" si="2"/>
        <v>1</v>
      </c>
      <c r="M61">
        <f t="shared" si="2"/>
        <v>2</v>
      </c>
      <c r="N61">
        <f t="shared" si="2"/>
        <v>0</v>
      </c>
      <c r="O61">
        <f t="shared" si="2"/>
        <v>1</v>
      </c>
      <c r="P61">
        <f t="shared" si="2"/>
        <v>0</v>
      </c>
      <c r="Q61">
        <f t="shared" si="2"/>
        <v>0</v>
      </c>
      <c r="R61">
        <f t="shared" si="2"/>
        <v>0</v>
      </c>
    </row>
    <row r="62" spans="3:18" x14ac:dyDescent="0.2">
      <c r="C62" t="s">
        <v>364</v>
      </c>
      <c r="D62">
        <f t="shared" si="2"/>
        <v>0</v>
      </c>
      <c r="E62">
        <f t="shared" si="2"/>
        <v>0</v>
      </c>
      <c r="F62">
        <f t="shared" si="2"/>
        <v>1</v>
      </c>
      <c r="G62">
        <f t="shared" si="2"/>
        <v>0</v>
      </c>
      <c r="H62">
        <f t="shared" si="2"/>
        <v>0</v>
      </c>
      <c r="I62">
        <f t="shared" si="2"/>
        <v>0</v>
      </c>
      <c r="J62">
        <f t="shared" si="2"/>
        <v>0</v>
      </c>
      <c r="K62">
        <f t="shared" si="2"/>
        <v>0</v>
      </c>
      <c r="L62">
        <f t="shared" si="2"/>
        <v>0</v>
      </c>
      <c r="M62">
        <f t="shared" si="2"/>
        <v>0</v>
      </c>
      <c r="N62">
        <f t="shared" si="2"/>
        <v>0</v>
      </c>
      <c r="O62">
        <f t="shared" si="2"/>
        <v>0</v>
      </c>
      <c r="P62">
        <f t="shared" si="2"/>
        <v>0</v>
      </c>
      <c r="Q62">
        <f t="shared" si="2"/>
        <v>0</v>
      </c>
      <c r="R62">
        <f t="shared" si="2"/>
        <v>1</v>
      </c>
    </row>
    <row r="63" spans="3:18" x14ac:dyDescent="0.2">
      <c r="C63" t="s">
        <v>323</v>
      </c>
      <c r="D63">
        <f t="shared" si="2"/>
        <v>0</v>
      </c>
      <c r="E63">
        <f t="shared" si="2"/>
        <v>0</v>
      </c>
      <c r="F63">
        <f t="shared" si="2"/>
        <v>0</v>
      </c>
      <c r="G63">
        <f t="shared" si="2"/>
        <v>0</v>
      </c>
      <c r="H63">
        <f t="shared" si="2"/>
        <v>0</v>
      </c>
      <c r="I63">
        <f t="shared" si="2"/>
        <v>0</v>
      </c>
      <c r="J63">
        <f t="shared" si="2"/>
        <v>0</v>
      </c>
      <c r="K63">
        <f t="shared" si="2"/>
        <v>1</v>
      </c>
      <c r="L63">
        <f t="shared" si="2"/>
        <v>0</v>
      </c>
      <c r="M63">
        <f t="shared" si="2"/>
        <v>0</v>
      </c>
      <c r="N63">
        <f t="shared" si="2"/>
        <v>0</v>
      </c>
      <c r="O63">
        <f t="shared" si="2"/>
        <v>0</v>
      </c>
      <c r="P63">
        <f t="shared" si="2"/>
        <v>0</v>
      </c>
      <c r="Q63">
        <f t="shared" si="2"/>
        <v>0</v>
      </c>
      <c r="R63">
        <f t="shared" si="2"/>
        <v>0</v>
      </c>
    </row>
    <row r="64" spans="3:18" x14ac:dyDescent="0.2">
      <c r="C64" t="s">
        <v>176</v>
      </c>
      <c r="D64">
        <f t="shared" si="2"/>
        <v>6</v>
      </c>
      <c r="E64">
        <f t="shared" si="2"/>
        <v>4</v>
      </c>
      <c r="F64">
        <f t="shared" si="2"/>
        <v>1</v>
      </c>
      <c r="G64">
        <f t="shared" si="2"/>
        <v>1</v>
      </c>
      <c r="H64">
        <f t="shared" si="2"/>
        <v>0</v>
      </c>
      <c r="I64">
        <f t="shared" si="2"/>
        <v>3</v>
      </c>
      <c r="J64">
        <f t="shared" si="2"/>
        <v>0</v>
      </c>
      <c r="K64">
        <f t="shared" si="2"/>
        <v>0</v>
      </c>
      <c r="L64">
        <f t="shared" si="2"/>
        <v>0</v>
      </c>
      <c r="M64">
        <f t="shared" si="2"/>
        <v>0</v>
      </c>
      <c r="N64">
        <f t="shared" si="2"/>
        <v>0</v>
      </c>
      <c r="O64">
        <f t="shared" si="2"/>
        <v>0</v>
      </c>
      <c r="P64">
        <f t="shared" si="2"/>
        <v>0</v>
      </c>
      <c r="Q64">
        <f t="shared" si="2"/>
        <v>1</v>
      </c>
      <c r="R64">
        <f t="shared" si="2"/>
        <v>0</v>
      </c>
    </row>
    <row r="66" spans="3:18" x14ac:dyDescent="0.2">
      <c r="C66" t="s">
        <v>459</v>
      </c>
      <c r="D66">
        <f>SUM(D2:D33)</f>
        <v>102</v>
      </c>
      <c r="E66">
        <f t="shared" ref="E66:R66" si="3">SUM(E2:E33)</f>
        <v>98</v>
      </c>
      <c r="F66">
        <f t="shared" si="3"/>
        <v>93</v>
      </c>
      <c r="G66">
        <f t="shared" si="3"/>
        <v>114</v>
      </c>
      <c r="H66">
        <f t="shared" si="3"/>
        <v>103</v>
      </c>
      <c r="I66">
        <f t="shared" si="3"/>
        <v>98</v>
      </c>
      <c r="J66">
        <f t="shared" si="3"/>
        <v>95</v>
      </c>
      <c r="K66">
        <f t="shared" si="3"/>
        <v>100</v>
      </c>
      <c r="L66">
        <f t="shared" si="3"/>
        <v>100</v>
      </c>
      <c r="M66">
        <f t="shared" si="3"/>
        <v>98</v>
      </c>
      <c r="N66">
        <f t="shared" si="3"/>
        <v>93</v>
      </c>
      <c r="O66">
        <f t="shared" si="3"/>
        <v>45</v>
      </c>
      <c r="P66">
        <f t="shared" si="3"/>
        <v>106</v>
      </c>
      <c r="Q66">
        <f t="shared" si="3"/>
        <v>101</v>
      </c>
      <c r="R66">
        <f t="shared" si="3"/>
        <v>101</v>
      </c>
    </row>
    <row r="67" spans="3:18" x14ac:dyDescent="0.2">
      <c r="C67" t="s">
        <v>460</v>
      </c>
      <c r="D67">
        <f>SUM(D38:D64)</f>
        <v>102</v>
      </c>
      <c r="E67">
        <f t="shared" ref="E67:R67" si="4">SUM(E38:E64)</f>
        <v>98</v>
      </c>
      <c r="F67">
        <f t="shared" si="4"/>
        <v>93</v>
      </c>
      <c r="G67">
        <f t="shared" si="4"/>
        <v>114</v>
      </c>
      <c r="H67">
        <f t="shared" si="4"/>
        <v>103</v>
      </c>
      <c r="I67">
        <f t="shared" si="4"/>
        <v>98</v>
      </c>
      <c r="J67">
        <f t="shared" si="4"/>
        <v>95</v>
      </c>
      <c r="K67">
        <f t="shared" si="4"/>
        <v>100</v>
      </c>
      <c r="L67">
        <f t="shared" si="4"/>
        <v>100</v>
      </c>
      <c r="M67">
        <f t="shared" si="4"/>
        <v>98</v>
      </c>
      <c r="N67">
        <f t="shared" si="4"/>
        <v>93</v>
      </c>
      <c r="O67">
        <f t="shared" si="4"/>
        <v>45</v>
      </c>
      <c r="P67">
        <f t="shared" si="4"/>
        <v>106</v>
      </c>
      <c r="Q67">
        <f t="shared" si="4"/>
        <v>101</v>
      </c>
      <c r="R67">
        <f t="shared" si="4"/>
        <v>101</v>
      </c>
    </row>
    <row r="69" spans="3:18" x14ac:dyDescent="0.2">
      <c r="C69" s="19" t="s">
        <v>462</v>
      </c>
      <c r="D69" s="19">
        <v>9</v>
      </c>
      <c r="E69" s="19">
        <v>19</v>
      </c>
      <c r="F69" s="19">
        <v>29</v>
      </c>
      <c r="G69" s="19">
        <v>39</v>
      </c>
      <c r="H69" s="19">
        <v>50</v>
      </c>
      <c r="I69" s="19">
        <v>59</v>
      </c>
      <c r="J69" s="19">
        <v>69</v>
      </c>
      <c r="K69" s="19">
        <v>79</v>
      </c>
      <c r="L69" s="19">
        <v>89</v>
      </c>
      <c r="M69" s="19">
        <v>100</v>
      </c>
      <c r="N69" s="19">
        <v>109</v>
      </c>
      <c r="O69" s="19">
        <v>119</v>
      </c>
      <c r="P69" s="19">
        <v>129</v>
      </c>
      <c r="Q69" s="19">
        <v>139</v>
      </c>
      <c r="R69" s="19">
        <v>149</v>
      </c>
    </row>
    <row r="70" spans="3:18" x14ac:dyDescent="0.2">
      <c r="C70" t="s">
        <v>113</v>
      </c>
      <c r="D70">
        <f>D38/D$67*100</f>
        <v>26.47058823529412</v>
      </c>
      <c r="E70">
        <f t="shared" ref="E70:R70" si="5">E38/E$67*100</f>
        <v>20.408163265306122</v>
      </c>
      <c r="F70">
        <f t="shared" si="5"/>
        <v>34.408602150537639</v>
      </c>
      <c r="G70">
        <f t="shared" si="5"/>
        <v>20.175438596491226</v>
      </c>
      <c r="H70">
        <f t="shared" si="5"/>
        <v>17.475728155339805</v>
      </c>
      <c r="I70">
        <f t="shared" si="5"/>
        <v>0</v>
      </c>
      <c r="J70">
        <f t="shared" si="5"/>
        <v>4.2105263157894735</v>
      </c>
      <c r="K70">
        <f t="shared" si="5"/>
        <v>31</v>
      </c>
      <c r="L70">
        <f t="shared" si="5"/>
        <v>23</v>
      </c>
      <c r="M70">
        <f t="shared" si="5"/>
        <v>12.244897959183673</v>
      </c>
      <c r="N70">
        <f t="shared" si="5"/>
        <v>17.20430107526882</v>
      </c>
      <c r="O70">
        <f t="shared" si="5"/>
        <v>8.8888888888888893</v>
      </c>
      <c r="P70">
        <f t="shared" si="5"/>
        <v>10.377358490566039</v>
      </c>
      <c r="Q70">
        <f t="shared" si="5"/>
        <v>7.9207920792079207</v>
      </c>
      <c r="R70">
        <f t="shared" si="5"/>
        <v>10.891089108910892</v>
      </c>
    </row>
    <row r="71" spans="3:18" x14ac:dyDescent="0.2">
      <c r="C71" t="s">
        <v>88</v>
      </c>
      <c r="D71">
        <f t="shared" ref="D71:R71" si="6">D39/D$67*100</f>
        <v>0</v>
      </c>
      <c r="E71">
        <f t="shared" si="6"/>
        <v>0</v>
      </c>
      <c r="F71">
        <f t="shared" si="6"/>
        <v>2.1505376344086025</v>
      </c>
      <c r="G71">
        <f t="shared" si="6"/>
        <v>9.6491228070175428</v>
      </c>
      <c r="H71">
        <f t="shared" si="6"/>
        <v>15.53398058252427</v>
      </c>
      <c r="I71">
        <f t="shared" si="6"/>
        <v>35.714285714285715</v>
      </c>
      <c r="J71">
        <f t="shared" si="6"/>
        <v>27.368421052631582</v>
      </c>
      <c r="K71">
        <f t="shared" si="6"/>
        <v>6</v>
      </c>
      <c r="L71">
        <f t="shared" si="6"/>
        <v>9</v>
      </c>
      <c r="M71">
        <f t="shared" si="6"/>
        <v>30.612244897959183</v>
      </c>
      <c r="N71">
        <f t="shared" si="6"/>
        <v>6.4516129032258061</v>
      </c>
      <c r="O71">
        <f t="shared" si="6"/>
        <v>6.666666666666667</v>
      </c>
      <c r="P71">
        <f t="shared" si="6"/>
        <v>15.09433962264151</v>
      </c>
      <c r="Q71">
        <f t="shared" si="6"/>
        <v>11.881188118811881</v>
      </c>
      <c r="R71">
        <f t="shared" si="6"/>
        <v>9.9009900990099009</v>
      </c>
    </row>
    <row r="72" spans="3:18" x14ac:dyDescent="0.2">
      <c r="C72" t="s">
        <v>91</v>
      </c>
      <c r="D72">
        <f t="shared" ref="D72:R72" si="7">D40/D$67*100</f>
        <v>0.98039215686274506</v>
      </c>
      <c r="E72">
        <f t="shared" si="7"/>
        <v>0</v>
      </c>
      <c r="F72">
        <f t="shared" si="7"/>
        <v>10.75268817204301</v>
      </c>
      <c r="G72">
        <f t="shared" si="7"/>
        <v>21.052631578947366</v>
      </c>
      <c r="H72">
        <f t="shared" si="7"/>
        <v>23.300970873786408</v>
      </c>
      <c r="I72">
        <f t="shared" si="7"/>
        <v>34.693877551020407</v>
      </c>
      <c r="J72">
        <f t="shared" si="7"/>
        <v>24.210526315789473</v>
      </c>
      <c r="K72">
        <f t="shared" si="7"/>
        <v>10</v>
      </c>
      <c r="L72">
        <f t="shared" si="7"/>
        <v>13</v>
      </c>
      <c r="M72">
        <f t="shared" si="7"/>
        <v>12.244897959183673</v>
      </c>
      <c r="N72">
        <f t="shared" si="7"/>
        <v>15.053763440860216</v>
      </c>
      <c r="O72">
        <f t="shared" si="7"/>
        <v>17.777777777777779</v>
      </c>
      <c r="P72">
        <f t="shared" si="7"/>
        <v>18.867924528301888</v>
      </c>
      <c r="Q72">
        <f t="shared" si="7"/>
        <v>20.792079207920793</v>
      </c>
      <c r="R72">
        <f t="shared" si="7"/>
        <v>7.9207920792079207</v>
      </c>
    </row>
    <row r="73" spans="3:18" x14ac:dyDescent="0.2">
      <c r="C73" t="s">
        <v>89</v>
      </c>
      <c r="D73">
        <f t="shared" ref="D73:R73" si="8">D41/D$67*100</f>
        <v>4.9019607843137258</v>
      </c>
      <c r="E73">
        <f t="shared" si="8"/>
        <v>8.1632653061224492</v>
      </c>
      <c r="F73">
        <f t="shared" si="8"/>
        <v>0</v>
      </c>
      <c r="G73">
        <f t="shared" si="8"/>
        <v>12.280701754385964</v>
      </c>
      <c r="H73">
        <f t="shared" si="8"/>
        <v>9.7087378640776691</v>
      </c>
      <c r="I73">
        <f t="shared" si="8"/>
        <v>10.204081632653061</v>
      </c>
      <c r="J73">
        <f t="shared" si="8"/>
        <v>17.894736842105264</v>
      </c>
      <c r="K73">
        <f t="shared" si="8"/>
        <v>8</v>
      </c>
      <c r="L73">
        <f t="shared" si="8"/>
        <v>8</v>
      </c>
      <c r="M73">
        <f t="shared" si="8"/>
        <v>13.26530612244898</v>
      </c>
      <c r="N73">
        <f t="shared" si="8"/>
        <v>15.053763440860216</v>
      </c>
      <c r="O73">
        <f t="shared" si="8"/>
        <v>8.8888888888888893</v>
      </c>
      <c r="P73">
        <f t="shared" si="8"/>
        <v>6.6037735849056602</v>
      </c>
      <c r="Q73">
        <f t="shared" si="8"/>
        <v>23.762376237623762</v>
      </c>
      <c r="R73">
        <f t="shared" si="8"/>
        <v>11.881188118811881</v>
      </c>
    </row>
    <row r="74" spans="3:18" x14ac:dyDescent="0.2">
      <c r="C74" t="s">
        <v>96</v>
      </c>
      <c r="D74">
        <f t="shared" ref="D74:R74" si="9">D42/D$67*100</f>
        <v>0</v>
      </c>
      <c r="E74">
        <f t="shared" si="9"/>
        <v>0</v>
      </c>
      <c r="F74">
        <f t="shared" si="9"/>
        <v>0</v>
      </c>
      <c r="G74">
        <f t="shared" si="9"/>
        <v>3.5087719298245612</v>
      </c>
      <c r="H74">
        <f t="shared" si="9"/>
        <v>0.97087378640776689</v>
      </c>
      <c r="I74">
        <f t="shared" si="9"/>
        <v>0</v>
      </c>
      <c r="J74">
        <f t="shared" si="9"/>
        <v>0</v>
      </c>
      <c r="K74">
        <f t="shared" si="9"/>
        <v>0</v>
      </c>
      <c r="L74">
        <f t="shared" si="9"/>
        <v>1</v>
      </c>
      <c r="M74">
        <f t="shared" si="9"/>
        <v>3.0612244897959182</v>
      </c>
      <c r="N74">
        <f t="shared" si="9"/>
        <v>1.0752688172043012</v>
      </c>
      <c r="O74">
        <f t="shared" si="9"/>
        <v>8.8888888888888893</v>
      </c>
      <c r="P74">
        <f t="shared" si="9"/>
        <v>0.94339622641509435</v>
      </c>
      <c r="Q74">
        <f t="shared" si="9"/>
        <v>0.99009900990099009</v>
      </c>
      <c r="R74">
        <f t="shared" si="9"/>
        <v>2.9702970297029703</v>
      </c>
    </row>
    <row r="75" spans="3:18" x14ac:dyDescent="0.2">
      <c r="C75" t="s">
        <v>117</v>
      </c>
      <c r="D75">
        <f t="shared" ref="D75:R75" si="10">D43/D$67*100</f>
        <v>0</v>
      </c>
      <c r="E75">
        <f t="shared" si="10"/>
        <v>0</v>
      </c>
      <c r="F75">
        <f t="shared" si="10"/>
        <v>0</v>
      </c>
      <c r="G75">
        <f t="shared" si="10"/>
        <v>0</v>
      </c>
      <c r="H75">
        <f t="shared" si="10"/>
        <v>0</v>
      </c>
      <c r="I75">
        <f t="shared" si="10"/>
        <v>1.0204081632653061</v>
      </c>
      <c r="J75">
        <f t="shared" si="10"/>
        <v>0</v>
      </c>
      <c r="K75">
        <f t="shared" si="10"/>
        <v>2</v>
      </c>
      <c r="L75">
        <f t="shared" si="10"/>
        <v>3</v>
      </c>
      <c r="M75">
        <f t="shared" si="10"/>
        <v>1.0204081632653061</v>
      </c>
      <c r="N75">
        <f t="shared" si="10"/>
        <v>0</v>
      </c>
      <c r="O75">
        <f t="shared" si="10"/>
        <v>4.4444444444444446</v>
      </c>
      <c r="P75">
        <f t="shared" si="10"/>
        <v>1.8867924528301887</v>
      </c>
      <c r="Q75">
        <f t="shared" si="10"/>
        <v>0.99009900990099009</v>
      </c>
      <c r="R75">
        <f t="shared" si="10"/>
        <v>3.9603960396039604</v>
      </c>
    </row>
    <row r="76" spans="3:18" x14ac:dyDescent="0.2">
      <c r="C76" t="s">
        <v>122</v>
      </c>
      <c r="D76">
        <f t="shared" ref="D76:R76" si="11">D44/D$67*100</f>
        <v>0</v>
      </c>
      <c r="E76">
        <f t="shared" si="11"/>
        <v>1.0204081632653061</v>
      </c>
      <c r="F76">
        <f t="shared" si="11"/>
        <v>0</v>
      </c>
      <c r="G76">
        <f t="shared" si="11"/>
        <v>0</v>
      </c>
      <c r="H76">
        <f t="shared" si="11"/>
        <v>0</v>
      </c>
      <c r="I76">
        <f t="shared" si="11"/>
        <v>0</v>
      </c>
      <c r="J76">
        <f t="shared" si="11"/>
        <v>1.0526315789473684</v>
      </c>
      <c r="K76">
        <f t="shared" si="11"/>
        <v>0</v>
      </c>
      <c r="L76">
        <f t="shared" si="11"/>
        <v>0</v>
      </c>
      <c r="M76">
        <f t="shared" si="11"/>
        <v>0</v>
      </c>
      <c r="N76">
        <f t="shared" si="11"/>
        <v>0</v>
      </c>
      <c r="O76">
        <f t="shared" si="11"/>
        <v>0</v>
      </c>
      <c r="P76">
        <f t="shared" si="11"/>
        <v>0</v>
      </c>
      <c r="Q76">
        <f t="shared" si="11"/>
        <v>0</v>
      </c>
      <c r="R76">
        <f t="shared" si="11"/>
        <v>0</v>
      </c>
    </row>
    <row r="77" spans="3:18" x14ac:dyDescent="0.2">
      <c r="C77" t="s">
        <v>125</v>
      </c>
      <c r="D77">
        <f t="shared" ref="D77:R77" si="12">D45/D$67*100</f>
        <v>0</v>
      </c>
      <c r="E77">
        <f t="shared" si="12"/>
        <v>0</v>
      </c>
      <c r="F77">
        <f t="shared" si="12"/>
        <v>0</v>
      </c>
      <c r="G77">
        <f t="shared" si="12"/>
        <v>3.5087719298245612</v>
      </c>
      <c r="H77">
        <f t="shared" si="12"/>
        <v>0.97087378640776689</v>
      </c>
      <c r="I77">
        <f t="shared" si="12"/>
        <v>1.0204081632653061</v>
      </c>
      <c r="J77">
        <f t="shared" si="12"/>
        <v>0</v>
      </c>
      <c r="K77">
        <f t="shared" si="12"/>
        <v>0</v>
      </c>
      <c r="L77">
        <f t="shared" si="12"/>
        <v>0</v>
      </c>
      <c r="M77">
        <f t="shared" si="12"/>
        <v>0</v>
      </c>
      <c r="N77">
        <f t="shared" si="12"/>
        <v>1.0752688172043012</v>
      </c>
      <c r="O77">
        <f t="shared" si="12"/>
        <v>4.4444444444444446</v>
      </c>
      <c r="P77">
        <f t="shared" si="12"/>
        <v>0</v>
      </c>
      <c r="Q77">
        <f t="shared" si="12"/>
        <v>0.99009900990099009</v>
      </c>
      <c r="R77">
        <f t="shared" si="12"/>
        <v>0</v>
      </c>
    </row>
    <row r="78" spans="3:18" x14ac:dyDescent="0.2">
      <c r="C78" t="s">
        <v>216</v>
      </c>
      <c r="D78">
        <f t="shared" ref="D78:R78" si="13">D46/D$67*100</f>
        <v>0</v>
      </c>
      <c r="E78">
        <f t="shared" si="13"/>
        <v>1.0204081632653061</v>
      </c>
      <c r="F78">
        <f t="shared" si="13"/>
        <v>0</v>
      </c>
      <c r="G78">
        <f t="shared" si="13"/>
        <v>0</v>
      </c>
      <c r="H78">
        <f t="shared" si="13"/>
        <v>0</v>
      </c>
      <c r="I78">
        <f t="shared" si="13"/>
        <v>0</v>
      </c>
      <c r="J78">
        <f t="shared" si="13"/>
        <v>0</v>
      </c>
      <c r="K78">
        <f t="shared" si="13"/>
        <v>0</v>
      </c>
      <c r="L78">
        <f t="shared" si="13"/>
        <v>0</v>
      </c>
      <c r="M78">
        <f t="shared" si="13"/>
        <v>0</v>
      </c>
      <c r="N78">
        <f t="shared" si="13"/>
        <v>0</v>
      </c>
      <c r="O78">
        <f t="shared" si="13"/>
        <v>0</v>
      </c>
      <c r="P78">
        <f t="shared" si="13"/>
        <v>0</v>
      </c>
      <c r="Q78">
        <f t="shared" si="13"/>
        <v>0</v>
      </c>
      <c r="R78">
        <f t="shared" si="13"/>
        <v>0</v>
      </c>
    </row>
    <row r="79" spans="3:18" x14ac:dyDescent="0.2">
      <c r="C79" t="s">
        <v>148</v>
      </c>
      <c r="D79">
        <f t="shared" ref="D79:R79" si="14">D47/D$67*100</f>
        <v>15.686274509803921</v>
      </c>
      <c r="E79">
        <f t="shared" si="14"/>
        <v>36.734693877551024</v>
      </c>
      <c r="F79">
        <f t="shared" si="14"/>
        <v>15.053763440860216</v>
      </c>
      <c r="G79">
        <f t="shared" si="14"/>
        <v>9.6491228070175428</v>
      </c>
      <c r="H79">
        <f t="shared" si="14"/>
        <v>4.8543689320388346</v>
      </c>
      <c r="I79">
        <f t="shared" si="14"/>
        <v>3.0612244897959182</v>
      </c>
      <c r="J79">
        <f t="shared" si="14"/>
        <v>7.3684210526315779</v>
      </c>
      <c r="K79">
        <f t="shared" si="14"/>
        <v>21</v>
      </c>
      <c r="L79">
        <f t="shared" si="14"/>
        <v>17</v>
      </c>
      <c r="M79">
        <f t="shared" si="14"/>
        <v>13.26530612244898</v>
      </c>
      <c r="N79">
        <f t="shared" si="14"/>
        <v>11.827956989247312</v>
      </c>
      <c r="O79">
        <f t="shared" si="14"/>
        <v>4.4444444444444446</v>
      </c>
      <c r="P79">
        <f t="shared" si="14"/>
        <v>9.433962264150944</v>
      </c>
      <c r="Q79">
        <f t="shared" si="14"/>
        <v>10.891089108910892</v>
      </c>
      <c r="R79">
        <f t="shared" si="14"/>
        <v>17.82178217821782</v>
      </c>
    </row>
    <row r="80" spans="3:18" x14ac:dyDescent="0.2">
      <c r="C80" t="s">
        <v>151</v>
      </c>
      <c r="D80">
        <f t="shared" ref="D80:R80" si="15">D48/D$67*100</f>
        <v>0</v>
      </c>
      <c r="E80">
        <f t="shared" si="15"/>
        <v>0</v>
      </c>
      <c r="F80">
        <f t="shared" si="15"/>
        <v>0</v>
      </c>
      <c r="G80">
        <f t="shared" si="15"/>
        <v>0</v>
      </c>
      <c r="H80">
        <f t="shared" si="15"/>
        <v>0</v>
      </c>
      <c r="I80">
        <f t="shared" si="15"/>
        <v>0</v>
      </c>
      <c r="J80">
        <f t="shared" si="15"/>
        <v>0</v>
      </c>
      <c r="K80">
        <f t="shared" si="15"/>
        <v>1</v>
      </c>
      <c r="L80">
        <f t="shared" si="15"/>
        <v>0</v>
      </c>
      <c r="M80">
        <f t="shared" si="15"/>
        <v>0</v>
      </c>
      <c r="N80">
        <f t="shared" si="15"/>
        <v>0</v>
      </c>
      <c r="O80">
        <f t="shared" si="15"/>
        <v>0</v>
      </c>
      <c r="P80">
        <f t="shared" si="15"/>
        <v>0</v>
      </c>
      <c r="Q80">
        <f t="shared" si="15"/>
        <v>0</v>
      </c>
      <c r="R80">
        <f t="shared" si="15"/>
        <v>0</v>
      </c>
    </row>
    <row r="81" spans="3:18" x14ac:dyDescent="0.2">
      <c r="C81" t="s">
        <v>154</v>
      </c>
      <c r="D81">
        <f t="shared" ref="D81:R81" si="16">D49/D$67*100</f>
        <v>9.8039215686274517</v>
      </c>
      <c r="E81">
        <f t="shared" si="16"/>
        <v>3.0612244897959182</v>
      </c>
      <c r="F81">
        <f t="shared" si="16"/>
        <v>0</v>
      </c>
      <c r="G81">
        <f t="shared" si="16"/>
        <v>2.6315789473684208</v>
      </c>
      <c r="H81">
        <f t="shared" si="16"/>
        <v>3.8834951456310676</v>
      </c>
      <c r="I81">
        <f t="shared" si="16"/>
        <v>1.0204081632653061</v>
      </c>
      <c r="J81">
        <f t="shared" si="16"/>
        <v>8.4210526315789469</v>
      </c>
      <c r="K81">
        <f t="shared" si="16"/>
        <v>5</v>
      </c>
      <c r="L81">
        <f t="shared" si="16"/>
        <v>3</v>
      </c>
      <c r="M81">
        <f t="shared" si="16"/>
        <v>4.0816326530612246</v>
      </c>
      <c r="N81">
        <f t="shared" si="16"/>
        <v>5.376344086021505</v>
      </c>
      <c r="O81">
        <f t="shared" si="16"/>
        <v>4.4444444444444446</v>
      </c>
      <c r="P81">
        <f t="shared" si="16"/>
        <v>3.7735849056603774</v>
      </c>
      <c r="Q81">
        <f t="shared" si="16"/>
        <v>2.9702970297029703</v>
      </c>
      <c r="R81">
        <f t="shared" si="16"/>
        <v>3.9603960396039604</v>
      </c>
    </row>
    <row r="82" spans="3:18" x14ac:dyDescent="0.2">
      <c r="C82" t="s">
        <v>156</v>
      </c>
      <c r="D82">
        <f t="shared" ref="D82:R82" si="17">D50/D$67*100</f>
        <v>12.745098039215685</v>
      </c>
      <c r="E82">
        <f t="shared" si="17"/>
        <v>18.367346938775512</v>
      </c>
      <c r="F82">
        <f t="shared" si="17"/>
        <v>11.827956989247312</v>
      </c>
      <c r="G82">
        <f t="shared" si="17"/>
        <v>4.3859649122807012</v>
      </c>
      <c r="H82">
        <f t="shared" si="17"/>
        <v>11.650485436893204</v>
      </c>
      <c r="I82">
        <f t="shared" si="17"/>
        <v>2.0408163265306123</v>
      </c>
      <c r="J82">
        <f t="shared" si="17"/>
        <v>1.0526315789473684</v>
      </c>
      <c r="K82">
        <f t="shared" si="17"/>
        <v>9</v>
      </c>
      <c r="L82">
        <f t="shared" si="17"/>
        <v>16</v>
      </c>
      <c r="M82">
        <f t="shared" si="17"/>
        <v>2.0408163265306123</v>
      </c>
      <c r="N82">
        <f t="shared" si="17"/>
        <v>22.58064516129032</v>
      </c>
      <c r="O82">
        <f t="shared" si="17"/>
        <v>11.111111111111111</v>
      </c>
      <c r="P82">
        <f t="shared" si="17"/>
        <v>29.245283018867923</v>
      </c>
      <c r="Q82">
        <f t="shared" si="17"/>
        <v>11.881188118811881</v>
      </c>
      <c r="R82">
        <f t="shared" si="17"/>
        <v>23.762376237623762</v>
      </c>
    </row>
    <row r="83" spans="3:18" x14ac:dyDescent="0.2">
      <c r="C83" t="s">
        <v>171</v>
      </c>
      <c r="D83">
        <f t="shared" ref="D83:R83" si="18">D51/D$67*100</f>
        <v>0.98039215686274506</v>
      </c>
      <c r="E83">
        <f t="shared" si="18"/>
        <v>0</v>
      </c>
      <c r="F83">
        <f t="shared" si="18"/>
        <v>0</v>
      </c>
      <c r="G83">
        <f t="shared" si="18"/>
        <v>0.8771929824561403</v>
      </c>
      <c r="H83">
        <f t="shared" si="18"/>
        <v>0</v>
      </c>
      <c r="I83">
        <f t="shared" si="18"/>
        <v>0</v>
      </c>
      <c r="J83">
        <f t="shared" si="18"/>
        <v>0</v>
      </c>
      <c r="K83">
        <f t="shared" si="18"/>
        <v>1</v>
      </c>
      <c r="L83">
        <f t="shared" si="18"/>
        <v>0</v>
      </c>
      <c r="M83">
        <f t="shared" si="18"/>
        <v>0</v>
      </c>
      <c r="N83">
        <f t="shared" si="18"/>
        <v>0</v>
      </c>
      <c r="O83">
        <f t="shared" si="18"/>
        <v>2.2222222222222223</v>
      </c>
      <c r="P83">
        <f t="shared" si="18"/>
        <v>0</v>
      </c>
      <c r="Q83">
        <f t="shared" si="18"/>
        <v>0.99009900990099009</v>
      </c>
      <c r="R83">
        <f t="shared" si="18"/>
        <v>0</v>
      </c>
    </row>
    <row r="84" spans="3:18" x14ac:dyDescent="0.2">
      <c r="C84" t="s">
        <v>292</v>
      </c>
      <c r="D84">
        <f t="shared" ref="D84:R84" si="19">D52/D$67*100</f>
        <v>0</v>
      </c>
      <c r="E84">
        <f t="shared" si="19"/>
        <v>0</v>
      </c>
      <c r="F84">
        <f t="shared" si="19"/>
        <v>0</v>
      </c>
      <c r="G84">
        <f t="shared" si="19"/>
        <v>0</v>
      </c>
      <c r="H84">
        <f t="shared" si="19"/>
        <v>0</v>
      </c>
      <c r="I84">
        <f t="shared" si="19"/>
        <v>0</v>
      </c>
      <c r="J84">
        <f t="shared" si="19"/>
        <v>0</v>
      </c>
      <c r="K84">
        <f t="shared" si="19"/>
        <v>0</v>
      </c>
      <c r="L84">
        <f t="shared" si="19"/>
        <v>1</v>
      </c>
      <c r="M84">
        <f t="shared" si="19"/>
        <v>0</v>
      </c>
      <c r="N84">
        <f t="shared" si="19"/>
        <v>0</v>
      </c>
      <c r="O84">
        <f t="shared" si="19"/>
        <v>0</v>
      </c>
      <c r="P84">
        <f t="shared" si="19"/>
        <v>1.8867924528301887</v>
      </c>
      <c r="Q84">
        <f t="shared" si="19"/>
        <v>2.9702970297029703</v>
      </c>
      <c r="R84">
        <f t="shared" si="19"/>
        <v>0</v>
      </c>
    </row>
    <row r="85" spans="3:18" x14ac:dyDescent="0.2">
      <c r="C85" t="s">
        <v>102</v>
      </c>
      <c r="D85">
        <f t="shared" ref="D85:R85" si="20">D53/D$67*100</f>
        <v>0</v>
      </c>
      <c r="E85">
        <f t="shared" si="20"/>
        <v>2.0408163265306123</v>
      </c>
      <c r="F85">
        <f t="shared" si="20"/>
        <v>0</v>
      </c>
      <c r="G85">
        <f t="shared" si="20"/>
        <v>0</v>
      </c>
      <c r="H85">
        <f t="shared" si="20"/>
        <v>0</v>
      </c>
      <c r="I85">
        <f t="shared" si="20"/>
        <v>0</v>
      </c>
      <c r="J85">
        <f t="shared" si="20"/>
        <v>0</v>
      </c>
      <c r="K85">
        <f t="shared" si="20"/>
        <v>0</v>
      </c>
      <c r="L85">
        <f t="shared" si="20"/>
        <v>0</v>
      </c>
      <c r="M85">
        <f t="shared" si="20"/>
        <v>0</v>
      </c>
      <c r="N85">
        <f t="shared" si="20"/>
        <v>0</v>
      </c>
      <c r="O85">
        <f t="shared" si="20"/>
        <v>0</v>
      </c>
      <c r="P85">
        <f t="shared" si="20"/>
        <v>0</v>
      </c>
      <c r="Q85">
        <f t="shared" si="20"/>
        <v>0</v>
      </c>
      <c r="R85">
        <f t="shared" si="20"/>
        <v>0</v>
      </c>
    </row>
    <row r="86" spans="3:18" x14ac:dyDescent="0.2">
      <c r="C86" t="s">
        <v>129</v>
      </c>
      <c r="D86">
        <f t="shared" ref="D86:R86" si="21">D54/D$67*100</f>
        <v>0</v>
      </c>
      <c r="E86">
        <f t="shared" si="21"/>
        <v>1.0204081632653061</v>
      </c>
      <c r="F86">
        <f t="shared" si="21"/>
        <v>6.4516129032258061</v>
      </c>
      <c r="G86">
        <f t="shared" si="21"/>
        <v>3.5087719298245612</v>
      </c>
      <c r="H86">
        <f t="shared" si="21"/>
        <v>1.9417475728155338</v>
      </c>
      <c r="I86">
        <f t="shared" si="21"/>
        <v>2.0408163265306123</v>
      </c>
      <c r="J86">
        <f t="shared" si="21"/>
        <v>4.2105263157894735</v>
      </c>
      <c r="K86">
        <f t="shared" si="21"/>
        <v>2</v>
      </c>
      <c r="L86">
        <f t="shared" si="21"/>
        <v>1</v>
      </c>
      <c r="M86">
        <f t="shared" si="21"/>
        <v>4.0816326530612246</v>
      </c>
      <c r="N86">
        <f t="shared" si="21"/>
        <v>1.0752688172043012</v>
      </c>
      <c r="O86">
        <f t="shared" si="21"/>
        <v>0</v>
      </c>
      <c r="P86">
        <f t="shared" si="21"/>
        <v>0.94339622641509435</v>
      </c>
      <c r="Q86">
        <f t="shared" si="21"/>
        <v>0</v>
      </c>
      <c r="R86">
        <f t="shared" si="21"/>
        <v>2.9702970297029703</v>
      </c>
    </row>
    <row r="87" spans="3:18" x14ac:dyDescent="0.2">
      <c r="C87" t="s">
        <v>333</v>
      </c>
      <c r="D87">
        <f t="shared" ref="D87:R87" si="22">D55/D$67*100</f>
        <v>0</v>
      </c>
      <c r="E87">
        <f t="shared" si="22"/>
        <v>0</v>
      </c>
      <c r="F87">
        <f t="shared" si="22"/>
        <v>0</v>
      </c>
      <c r="G87">
        <f t="shared" si="22"/>
        <v>0</v>
      </c>
      <c r="H87">
        <f t="shared" si="22"/>
        <v>0</v>
      </c>
      <c r="I87">
        <f t="shared" si="22"/>
        <v>0</v>
      </c>
      <c r="J87">
        <f t="shared" si="22"/>
        <v>0</v>
      </c>
      <c r="K87">
        <f t="shared" si="22"/>
        <v>0</v>
      </c>
      <c r="L87">
        <f t="shared" si="22"/>
        <v>0</v>
      </c>
      <c r="M87">
        <f t="shared" si="22"/>
        <v>2.0408163265306123</v>
      </c>
      <c r="N87">
        <f t="shared" si="22"/>
        <v>0</v>
      </c>
      <c r="O87">
        <f t="shared" si="22"/>
        <v>0</v>
      </c>
      <c r="P87">
        <f t="shared" si="22"/>
        <v>0</v>
      </c>
      <c r="Q87">
        <f t="shared" si="22"/>
        <v>0</v>
      </c>
      <c r="R87">
        <f t="shared" si="22"/>
        <v>0</v>
      </c>
    </row>
    <row r="88" spans="3:18" x14ac:dyDescent="0.2">
      <c r="C88" t="s">
        <v>131</v>
      </c>
      <c r="D88">
        <f t="shared" ref="D88:R88" si="23">D56/D$67*100</f>
        <v>0.98039215686274506</v>
      </c>
      <c r="E88">
        <f t="shared" si="23"/>
        <v>2.0408163265306123</v>
      </c>
      <c r="F88">
        <f t="shared" si="23"/>
        <v>6.4516129032258061</v>
      </c>
      <c r="G88">
        <f t="shared" si="23"/>
        <v>5.2631578947368416</v>
      </c>
      <c r="H88">
        <f t="shared" si="23"/>
        <v>3.8834951456310676</v>
      </c>
      <c r="I88">
        <f t="shared" si="23"/>
        <v>0</v>
      </c>
      <c r="J88">
        <f t="shared" si="23"/>
        <v>3.1578947368421053</v>
      </c>
      <c r="K88">
        <f t="shared" si="23"/>
        <v>0</v>
      </c>
      <c r="L88">
        <f t="shared" si="23"/>
        <v>2</v>
      </c>
      <c r="M88">
        <f t="shared" si="23"/>
        <v>0</v>
      </c>
      <c r="N88">
        <f t="shared" si="23"/>
        <v>2.1505376344086025</v>
      </c>
      <c r="O88">
        <f t="shared" si="23"/>
        <v>11.111111111111111</v>
      </c>
      <c r="P88">
        <f t="shared" si="23"/>
        <v>0.94339622641509435</v>
      </c>
      <c r="Q88">
        <f t="shared" si="23"/>
        <v>1.9801980198019802</v>
      </c>
      <c r="R88">
        <f t="shared" si="23"/>
        <v>2.9702970297029703</v>
      </c>
    </row>
    <row r="89" spans="3:18" x14ac:dyDescent="0.2">
      <c r="C89" t="s">
        <v>144</v>
      </c>
      <c r="D89">
        <f t="shared" ref="D89:R89" si="24">D57/D$67*100</f>
        <v>2.9411764705882351</v>
      </c>
      <c r="E89">
        <f t="shared" si="24"/>
        <v>1.0204081632653061</v>
      </c>
      <c r="F89">
        <f t="shared" si="24"/>
        <v>0</v>
      </c>
      <c r="G89">
        <f t="shared" si="24"/>
        <v>1.7543859649122806</v>
      </c>
      <c r="H89">
        <f t="shared" si="24"/>
        <v>0.97087378640776689</v>
      </c>
      <c r="I89">
        <f t="shared" si="24"/>
        <v>0</v>
      </c>
      <c r="J89">
        <f t="shared" si="24"/>
        <v>0</v>
      </c>
      <c r="K89">
        <f t="shared" si="24"/>
        <v>0</v>
      </c>
      <c r="L89">
        <f t="shared" si="24"/>
        <v>1</v>
      </c>
      <c r="M89">
        <f t="shared" si="24"/>
        <v>0</v>
      </c>
      <c r="N89">
        <f t="shared" si="24"/>
        <v>0</v>
      </c>
      <c r="O89">
        <f t="shared" si="24"/>
        <v>2.2222222222222223</v>
      </c>
      <c r="P89">
        <f t="shared" si="24"/>
        <v>0</v>
      </c>
      <c r="Q89">
        <f t="shared" si="24"/>
        <v>0</v>
      </c>
      <c r="R89">
        <f t="shared" si="24"/>
        <v>0</v>
      </c>
    </row>
    <row r="90" spans="3:18" x14ac:dyDescent="0.2">
      <c r="C90" t="s">
        <v>137</v>
      </c>
      <c r="D90">
        <f t="shared" ref="D90:R90" si="25">D58/D$67*100</f>
        <v>0.98039215686274506</v>
      </c>
      <c r="E90">
        <f t="shared" si="25"/>
        <v>0</v>
      </c>
      <c r="F90">
        <f t="shared" si="25"/>
        <v>1.0752688172043012</v>
      </c>
      <c r="G90">
        <f t="shared" si="25"/>
        <v>0</v>
      </c>
      <c r="H90">
        <f t="shared" si="25"/>
        <v>0.97087378640776689</v>
      </c>
      <c r="I90">
        <f t="shared" si="25"/>
        <v>1.0204081632653061</v>
      </c>
      <c r="J90">
        <f t="shared" si="25"/>
        <v>0</v>
      </c>
      <c r="K90">
        <f t="shared" si="25"/>
        <v>1</v>
      </c>
      <c r="L90">
        <f t="shared" si="25"/>
        <v>0</v>
      </c>
      <c r="M90">
        <f t="shared" si="25"/>
        <v>0</v>
      </c>
      <c r="N90">
        <f t="shared" si="25"/>
        <v>1.0752688172043012</v>
      </c>
      <c r="O90">
        <f t="shared" si="25"/>
        <v>0</v>
      </c>
      <c r="P90">
        <f t="shared" si="25"/>
        <v>0</v>
      </c>
      <c r="Q90">
        <f t="shared" si="25"/>
        <v>0</v>
      </c>
      <c r="R90">
        <f t="shared" si="25"/>
        <v>0</v>
      </c>
    </row>
    <row r="91" spans="3:18" x14ac:dyDescent="0.2">
      <c r="C91" t="s">
        <v>140</v>
      </c>
      <c r="D91">
        <f t="shared" ref="D91:R91" si="26">D59/D$67*100</f>
        <v>0</v>
      </c>
      <c r="E91">
        <f t="shared" si="26"/>
        <v>0</v>
      </c>
      <c r="F91">
        <f t="shared" si="26"/>
        <v>1.0752688172043012</v>
      </c>
      <c r="G91">
        <f t="shared" si="26"/>
        <v>0</v>
      </c>
      <c r="H91">
        <f t="shared" si="26"/>
        <v>0</v>
      </c>
      <c r="I91">
        <f t="shared" si="26"/>
        <v>1.0204081632653061</v>
      </c>
      <c r="J91">
        <f t="shared" si="26"/>
        <v>0</v>
      </c>
      <c r="K91">
        <f t="shared" si="26"/>
        <v>0</v>
      </c>
      <c r="L91">
        <f t="shared" si="26"/>
        <v>1</v>
      </c>
      <c r="M91">
        <f t="shared" si="26"/>
        <v>0</v>
      </c>
      <c r="N91">
        <f t="shared" si="26"/>
        <v>0</v>
      </c>
      <c r="O91">
        <f t="shared" si="26"/>
        <v>2.2222222222222223</v>
      </c>
      <c r="P91">
        <f t="shared" si="26"/>
        <v>0</v>
      </c>
      <c r="Q91">
        <f t="shared" si="26"/>
        <v>0</v>
      </c>
      <c r="R91">
        <f t="shared" si="26"/>
        <v>0</v>
      </c>
    </row>
    <row r="92" spans="3:18" x14ac:dyDescent="0.2">
      <c r="C92" t="s">
        <v>134</v>
      </c>
      <c r="D92">
        <f t="shared" ref="D92:R92" si="27">D60/D$67*100</f>
        <v>17.647058823529413</v>
      </c>
      <c r="E92">
        <f t="shared" si="27"/>
        <v>1.0204081632653061</v>
      </c>
      <c r="F92">
        <f t="shared" si="27"/>
        <v>2.1505376344086025</v>
      </c>
      <c r="G92">
        <f t="shared" si="27"/>
        <v>0</v>
      </c>
      <c r="H92">
        <f t="shared" si="27"/>
        <v>0</v>
      </c>
      <c r="I92">
        <f t="shared" si="27"/>
        <v>1.0204081632653061</v>
      </c>
      <c r="J92">
        <f t="shared" si="27"/>
        <v>0</v>
      </c>
      <c r="K92">
        <f t="shared" si="27"/>
        <v>0</v>
      </c>
      <c r="L92">
        <f t="shared" si="27"/>
        <v>0</v>
      </c>
      <c r="M92">
        <f t="shared" si="27"/>
        <v>0</v>
      </c>
      <c r="N92">
        <f t="shared" si="27"/>
        <v>0</v>
      </c>
      <c r="O92">
        <f t="shared" si="27"/>
        <v>0</v>
      </c>
      <c r="P92">
        <f t="shared" si="27"/>
        <v>0</v>
      </c>
      <c r="Q92">
        <f t="shared" si="27"/>
        <v>0</v>
      </c>
      <c r="R92">
        <f t="shared" si="27"/>
        <v>0</v>
      </c>
    </row>
    <row r="93" spans="3:18" x14ac:dyDescent="0.2">
      <c r="C93" t="s">
        <v>162</v>
      </c>
      <c r="D93">
        <f t="shared" ref="D93:R93" si="28">D61/D$67*100</f>
        <v>0</v>
      </c>
      <c r="E93">
        <f t="shared" si="28"/>
        <v>0</v>
      </c>
      <c r="F93">
        <f t="shared" si="28"/>
        <v>6.4516129032258061</v>
      </c>
      <c r="G93">
        <f t="shared" si="28"/>
        <v>0.8771929824561403</v>
      </c>
      <c r="H93">
        <f t="shared" si="28"/>
        <v>3.8834951456310676</v>
      </c>
      <c r="I93">
        <f t="shared" si="28"/>
        <v>3.0612244897959182</v>
      </c>
      <c r="J93">
        <f t="shared" si="28"/>
        <v>1.0526315789473684</v>
      </c>
      <c r="K93">
        <f t="shared" si="28"/>
        <v>2</v>
      </c>
      <c r="L93">
        <f t="shared" si="28"/>
        <v>1</v>
      </c>
      <c r="M93">
        <f t="shared" si="28"/>
        <v>2.0408163265306123</v>
      </c>
      <c r="N93">
        <f t="shared" si="28"/>
        <v>0</v>
      </c>
      <c r="O93">
        <f t="shared" si="28"/>
        <v>2.2222222222222223</v>
      </c>
      <c r="P93">
        <f t="shared" si="28"/>
        <v>0</v>
      </c>
      <c r="Q93">
        <f t="shared" si="28"/>
        <v>0</v>
      </c>
      <c r="R93">
        <f t="shared" si="28"/>
        <v>0</v>
      </c>
    </row>
    <row r="94" spans="3:18" x14ac:dyDescent="0.2">
      <c r="C94" t="s">
        <v>364</v>
      </c>
      <c r="D94">
        <f t="shared" ref="D94:R94" si="29">D62/D$67*100</f>
        <v>0</v>
      </c>
      <c r="E94">
        <f t="shared" si="29"/>
        <v>0</v>
      </c>
      <c r="F94">
        <f t="shared" si="29"/>
        <v>1.0752688172043012</v>
      </c>
      <c r="G94">
        <f t="shared" si="29"/>
        <v>0</v>
      </c>
      <c r="H94">
        <f t="shared" si="29"/>
        <v>0</v>
      </c>
      <c r="I94">
        <f t="shared" si="29"/>
        <v>0</v>
      </c>
      <c r="J94">
        <f t="shared" si="29"/>
        <v>0</v>
      </c>
      <c r="K94">
        <f t="shared" si="29"/>
        <v>0</v>
      </c>
      <c r="L94">
        <f t="shared" si="29"/>
        <v>0</v>
      </c>
      <c r="M94">
        <f t="shared" si="29"/>
        <v>0</v>
      </c>
      <c r="N94">
        <f t="shared" si="29"/>
        <v>0</v>
      </c>
      <c r="O94">
        <f t="shared" si="29"/>
        <v>0</v>
      </c>
      <c r="P94">
        <f t="shared" si="29"/>
        <v>0</v>
      </c>
      <c r="Q94">
        <f t="shared" si="29"/>
        <v>0</v>
      </c>
      <c r="R94">
        <f t="shared" si="29"/>
        <v>0.99009900990099009</v>
      </c>
    </row>
    <row r="95" spans="3:18" x14ac:dyDescent="0.2">
      <c r="C95" t="s">
        <v>323</v>
      </c>
      <c r="D95">
        <f t="shared" ref="D95:R95" si="30">D63/D$67*100</f>
        <v>0</v>
      </c>
      <c r="E95">
        <f t="shared" si="30"/>
        <v>0</v>
      </c>
      <c r="F95">
        <f t="shared" si="30"/>
        <v>0</v>
      </c>
      <c r="G95">
        <f t="shared" si="30"/>
        <v>0</v>
      </c>
      <c r="H95">
        <f t="shared" si="30"/>
        <v>0</v>
      </c>
      <c r="I95">
        <f t="shared" si="30"/>
        <v>0</v>
      </c>
      <c r="J95">
        <f t="shared" si="30"/>
        <v>0</v>
      </c>
      <c r="K95">
        <f t="shared" si="30"/>
        <v>1</v>
      </c>
      <c r="L95">
        <f t="shared" si="30"/>
        <v>0</v>
      </c>
      <c r="M95">
        <f t="shared" si="30"/>
        <v>0</v>
      </c>
      <c r="N95">
        <f t="shared" si="30"/>
        <v>0</v>
      </c>
      <c r="O95">
        <f t="shared" si="30"/>
        <v>0</v>
      </c>
      <c r="P95">
        <f t="shared" si="30"/>
        <v>0</v>
      </c>
      <c r="Q95">
        <f t="shared" si="30"/>
        <v>0</v>
      </c>
      <c r="R95">
        <f t="shared" si="30"/>
        <v>0</v>
      </c>
    </row>
    <row r="96" spans="3:18" x14ac:dyDescent="0.2">
      <c r="C96" t="s">
        <v>176</v>
      </c>
      <c r="D96">
        <f t="shared" ref="D96:R96" si="31">D64/D$67*100</f>
        <v>5.8823529411764701</v>
      </c>
      <c r="E96">
        <f t="shared" si="31"/>
        <v>4.0816326530612246</v>
      </c>
      <c r="F96">
        <f t="shared" si="31"/>
        <v>1.0752688172043012</v>
      </c>
      <c r="G96">
        <f t="shared" si="31"/>
        <v>0.8771929824561403</v>
      </c>
      <c r="H96">
        <f t="shared" si="31"/>
        <v>0</v>
      </c>
      <c r="I96">
        <f t="shared" si="31"/>
        <v>3.0612244897959182</v>
      </c>
      <c r="J96">
        <f t="shared" si="31"/>
        <v>0</v>
      </c>
      <c r="K96">
        <f t="shared" si="31"/>
        <v>0</v>
      </c>
      <c r="L96">
        <f t="shared" si="31"/>
        <v>0</v>
      </c>
      <c r="M96">
        <f t="shared" si="31"/>
        <v>0</v>
      </c>
      <c r="N96">
        <f t="shared" si="31"/>
        <v>0</v>
      </c>
      <c r="O96">
        <f t="shared" si="31"/>
        <v>0</v>
      </c>
      <c r="P96">
        <f t="shared" si="31"/>
        <v>0</v>
      </c>
      <c r="Q96">
        <f t="shared" si="31"/>
        <v>0.99009900990099009</v>
      </c>
      <c r="R96">
        <f t="shared" si="31"/>
        <v>0</v>
      </c>
    </row>
    <row r="98" spans="3:18" x14ac:dyDescent="0.2">
      <c r="C98" t="s">
        <v>463</v>
      </c>
      <c r="D98">
        <f>SUM(D70:D96)</f>
        <v>100</v>
      </c>
      <c r="E98">
        <f t="shared" ref="E98:R98" si="32">SUM(E70:E96)</f>
        <v>100</v>
      </c>
      <c r="F98">
        <f t="shared" si="32"/>
        <v>100.00000000000001</v>
      </c>
      <c r="G98">
        <f t="shared" si="32"/>
        <v>99.999999999999972</v>
      </c>
      <c r="H98">
        <f t="shared" si="32"/>
        <v>100</v>
      </c>
      <c r="I98">
        <f t="shared" si="32"/>
        <v>99.999999999999972</v>
      </c>
      <c r="J98">
        <f t="shared" si="32"/>
        <v>100.00000000000001</v>
      </c>
      <c r="K98">
        <f t="shared" si="32"/>
        <v>100</v>
      </c>
      <c r="L98">
        <f t="shared" si="32"/>
        <v>100</v>
      </c>
      <c r="M98">
        <f t="shared" si="32"/>
        <v>100</v>
      </c>
      <c r="N98">
        <f t="shared" si="32"/>
        <v>100.00000000000001</v>
      </c>
      <c r="O98">
        <f t="shared" si="32"/>
        <v>100.00000000000003</v>
      </c>
      <c r="P98">
        <f t="shared" si="32"/>
        <v>99.999999999999986</v>
      </c>
      <c r="Q98">
        <f t="shared" si="32"/>
        <v>100</v>
      </c>
      <c r="R98">
        <f t="shared" si="32"/>
        <v>100.00000000000001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D6E58-81C1-4510-A86D-03671D405BA4}">
  <dimension ref="A1:S184"/>
  <sheetViews>
    <sheetView topLeftCell="E1" zoomScale="85" zoomScaleNormal="85" workbookViewId="0">
      <selection activeCell="R2" sqref="R2"/>
    </sheetView>
  </sheetViews>
  <sheetFormatPr baseColWidth="10" defaultColWidth="8.83203125" defaultRowHeight="15" x14ac:dyDescent="0.2"/>
  <cols>
    <col min="1" max="1" width="62.5" customWidth="1"/>
    <col min="2" max="2" width="55.1640625" customWidth="1"/>
    <col min="3" max="3" width="33.33203125" customWidth="1"/>
    <col min="4" max="4" width="28.5" style="5" customWidth="1"/>
    <col min="5" max="5" width="23" customWidth="1"/>
    <col min="6" max="6" width="19.5" customWidth="1"/>
    <col min="7" max="7" width="23.83203125" customWidth="1"/>
    <col min="8" max="8" width="33.33203125" style="5" customWidth="1"/>
    <col min="9" max="9" width="22.83203125" customWidth="1"/>
    <col min="10" max="10" width="9.33203125" customWidth="1"/>
    <col min="11" max="11" width="34.1640625" style="5" customWidth="1"/>
    <col min="12" max="12" width="52.83203125" bestFit="1" customWidth="1"/>
    <col min="13" max="13" width="31.83203125" customWidth="1"/>
    <col min="15" max="15" width="8.83203125" style="10"/>
  </cols>
  <sheetData>
    <row r="1" spans="1:19" ht="16" thickBot="1" x14ac:dyDescent="0.25">
      <c r="A1" s="20" t="s">
        <v>69</v>
      </c>
      <c r="B1" s="20"/>
      <c r="C1" s="2" t="s">
        <v>70</v>
      </c>
      <c r="D1" s="4" t="s">
        <v>71</v>
      </c>
      <c r="E1" s="2" t="s">
        <v>72</v>
      </c>
      <c r="G1" s="2" t="s">
        <v>73</v>
      </c>
      <c r="H1" s="21" t="s">
        <v>74</v>
      </c>
      <c r="I1" s="22"/>
      <c r="L1" s="2" t="s">
        <v>75</v>
      </c>
      <c r="M1" s="2" t="s">
        <v>76</v>
      </c>
      <c r="N1" s="2" t="s">
        <v>75</v>
      </c>
      <c r="O1" s="6" t="s">
        <v>77</v>
      </c>
    </row>
    <row r="2" spans="1:19" ht="16" thickBot="1" x14ac:dyDescent="0.25">
      <c r="A2" s="7" t="s">
        <v>78</v>
      </c>
      <c r="B2" s="7" t="s">
        <v>79</v>
      </c>
      <c r="C2" s="2" t="s">
        <v>80</v>
      </c>
      <c r="D2" s="4" t="s">
        <v>81</v>
      </c>
      <c r="E2" s="2" t="s">
        <v>82</v>
      </c>
      <c r="G2" s="2" t="s">
        <v>83</v>
      </c>
      <c r="H2" s="4" t="s">
        <v>81</v>
      </c>
      <c r="I2" s="2" t="s">
        <v>84</v>
      </c>
      <c r="K2" s="4" t="s">
        <v>450</v>
      </c>
      <c r="L2" s="2" t="s">
        <v>451</v>
      </c>
      <c r="M2" s="4" t="s">
        <v>452</v>
      </c>
      <c r="N2" s="2" t="s">
        <v>451</v>
      </c>
      <c r="O2" s="6" t="s">
        <v>82</v>
      </c>
      <c r="R2" s="2" t="s">
        <v>85</v>
      </c>
      <c r="S2" s="2" t="s">
        <v>86</v>
      </c>
    </row>
    <row r="3" spans="1:19" x14ac:dyDescent="0.2">
      <c r="A3" s="8" t="s">
        <v>87</v>
      </c>
      <c r="B3" s="8" t="s">
        <v>5</v>
      </c>
      <c r="C3" t="e">
        <f>(MID(A3,FIND("(",A3)+1,FIND(")",A3)-FIND("(",A3)-1))</f>
        <v>#VALUE!</v>
      </c>
      <c r="D3" s="5" t="s">
        <v>5</v>
      </c>
      <c r="E3" t="s">
        <v>88</v>
      </c>
      <c r="G3">
        <v>9</v>
      </c>
      <c r="H3" s="5" t="s">
        <v>9</v>
      </c>
      <c r="I3" t="s">
        <v>88</v>
      </c>
      <c r="K3" t="s">
        <v>112</v>
      </c>
      <c r="L3">
        <f>_xlfn.XLOOKUP(K3 &amp; "*",H$3:H$184,G$3:G$184,"Not found",2)</f>
        <v>46</v>
      </c>
      <c r="M3" t="s">
        <v>112</v>
      </c>
      <c r="N3">
        <f>_xlfn.XLOOKUP(M3 &amp; "*",H$3:H$184,G$3:G$184,"Not found",2)</f>
        <v>46</v>
      </c>
      <c r="O3" s="10" t="str">
        <f>_xlfn.XLOOKUP(M3 &amp; "*",H$3:H$184,I$3:I$184,"Not found",2)</f>
        <v>NEB MIL</v>
      </c>
      <c r="R3" t="s">
        <v>113</v>
      </c>
      <c r="S3" t="str" cm="1">
        <f t="array" ref="S3:S29">_xlfn.UNIQUE(R3:R34)</f>
        <v>NEB MIL</v>
      </c>
    </row>
    <row r="4" spans="1:19" ht="16" thickBot="1" x14ac:dyDescent="0.25">
      <c r="A4" s="11" t="s">
        <v>90</v>
      </c>
      <c r="B4" s="12" t="s">
        <v>9</v>
      </c>
      <c r="C4" t="str">
        <f>(MID(A4,FIND("(",A4)+1,FIND(")",A4)-FIND("(",A4)-1))</f>
        <v>ARC WRI</v>
      </c>
      <c r="D4" s="5" t="s">
        <v>9</v>
      </c>
      <c r="E4" t="s">
        <v>88</v>
      </c>
      <c r="G4">
        <v>9</v>
      </c>
      <c r="H4" s="5" t="s">
        <v>5</v>
      </c>
      <c r="I4" t="s">
        <v>88</v>
      </c>
      <c r="K4" t="s">
        <v>9</v>
      </c>
      <c r="L4">
        <f t="shared" ref="L4:L30" si="0">_xlfn.XLOOKUP(K4 &amp; "*",H$3:H$184,G$3:G$184,"Not found",2)</f>
        <v>9</v>
      </c>
      <c r="M4" t="s">
        <v>9</v>
      </c>
      <c r="N4">
        <f t="shared" ref="N4:N34" si="1">_xlfn.XLOOKUP(M4 &amp; "*",H$3:H$184,G$3:G$184,"Not found",2)</f>
        <v>9</v>
      </c>
      <c r="O4" s="10" t="str">
        <f t="shared" ref="O4:O34" si="2">_xlfn.XLOOKUP(M4 &amp; "*",H$3:H$184,I$3:I$184,"Not found",2)</f>
        <v>ARC WRI</v>
      </c>
      <c r="R4" t="s">
        <v>88</v>
      </c>
      <c r="S4" t="str">
        <v>ARC WRI</v>
      </c>
    </row>
    <row r="5" spans="1:19" x14ac:dyDescent="0.2">
      <c r="A5" s="8" t="s">
        <v>92</v>
      </c>
      <c r="B5" s="8" t="s">
        <v>93</v>
      </c>
      <c r="C5" t="e">
        <f t="shared" ref="C5:C68" si="3">(MID(A5,FIND("(",A5)+1,FIND(")",A5)-FIND("(",A5)-1))</f>
        <v>#VALUE!</v>
      </c>
      <c r="D5" s="5" t="s">
        <v>93</v>
      </c>
      <c r="E5" t="s">
        <v>94</v>
      </c>
      <c r="G5">
        <v>41</v>
      </c>
      <c r="H5" s="5" t="s">
        <v>95</v>
      </c>
      <c r="I5" t="s">
        <v>94</v>
      </c>
      <c r="K5" t="s">
        <v>5</v>
      </c>
      <c r="L5">
        <f t="shared" si="0"/>
        <v>9</v>
      </c>
      <c r="M5" t="s">
        <v>5</v>
      </c>
      <c r="N5">
        <f t="shared" si="1"/>
        <v>9</v>
      </c>
      <c r="O5" s="10" t="str">
        <f t="shared" si="2"/>
        <v>ARC WRI</v>
      </c>
      <c r="R5" t="s">
        <v>88</v>
      </c>
      <c r="S5" t="str">
        <v>ARC FLA</v>
      </c>
    </row>
    <row r="6" spans="1:19" x14ac:dyDescent="0.2">
      <c r="A6" s="13" t="s">
        <v>97</v>
      </c>
      <c r="B6" s="8" t="s">
        <v>95</v>
      </c>
      <c r="C6" t="str">
        <f>(MID(A6,FIND("(",A6)+1,FIND(")",A6)-FIND("(",A6)-1))</f>
        <v>ARC ARE</v>
      </c>
      <c r="D6" s="5" t="s">
        <v>95</v>
      </c>
      <c r="E6" t="s">
        <v>94</v>
      </c>
      <c r="G6">
        <v>41</v>
      </c>
      <c r="H6" s="5" t="s">
        <v>93</v>
      </c>
      <c r="I6" t="s">
        <v>94</v>
      </c>
      <c r="K6" t="s">
        <v>150</v>
      </c>
      <c r="L6">
        <f t="shared" si="0"/>
        <v>18</v>
      </c>
      <c r="M6" t="s">
        <v>150</v>
      </c>
      <c r="N6">
        <f t="shared" si="1"/>
        <v>18</v>
      </c>
      <c r="O6" s="10" t="str">
        <f t="shared" si="2"/>
        <v>ARC FLA</v>
      </c>
      <c r="R6" t="s">
        <v>91</v>
      </c>
      <c r="S6" t="str">
        <v>ASS MUS</v>
      </c>
    </row>
    <row r="7" spans="1:19" x14ac:dyDescent="0.2">
      <c r="A7" s="13"/>
      <c r="B7" s="8" t="s">
        <v>98</v>
      </c>
      <c r="C7" t="e">
        <f t="shared" si="3"/>
        <v>#VALUE!</v>
      </c>
      <c r="D7" s="5" t="s">
        <v>99</v>
      </c>
      <c r="E7" t="s">
        <v>94</v>
      </c>
      <c r="G7">
        <v>11</v>
      </c>
      <c r="H7" s="5" t="s">
        <v>100</v>
      </c>
      <c r="I7" t="s">
        <v>101</v>
      </c>
      <c r="K7" t="s">
        <v>4</v>
      </c>
      <c r="L7">
        <f t="shared" si="0"/>
        <v>47</v>
      </c>
      <c r="M7" t="s">
        <v>4</v>
      </c>
      <c r="N7">
        <f t="shared" si="1"/>
        <v>47</v>
      </c>
      <c r="O7" s="10" t="str">
        <f t="shared" si="2"/>
        <v>ASS MUS</v>
      </c>
      <c r="R7" t="s">
        <v>89</v>
      </c>
      <c r="S7" t="str">
        <v>ASS SEM</v>
      </c>
    </row>
    <row r="8" spans="1:19" ht="16" thickBot="1" x14ac:dyDescent="0.25">
      <c r="A8" s="11"/>
      <c r="B8" s="12" t="s">
        <v>103</v>
      </c>
      <c r="C8" t="e">
        <f t="shared" si="3"/>
        <v>#VALUE!</v>
      </c>
      <c r="D8" s="5" t="s">
        <v>103</v>
      </c>
      <c r="E8" t="s">
        <v>94</v>
      </c>
      <c r="G8">
        <v>41</v>
      </c>
      <c r="H8" s="5" t="s">
        <v>99</v>
      </c>
      <c r="I8" t="s">
        <v>94</v>
      </c>
      <c r="K8" t="s">
        <v>11</v>
      </c>
      <c r="L8">
        <f t="shared" si="0"/>
        <v>40</v>
      </c>
      <c r="M8" t="s">
        <v>11</v>
      </c>
      <c r="N8">
        <f t="shared" si="1"/>
        <v>40</v>
      </c>
      <c r="O8" s="10" t="str">
        <f t="shared" si="2"/>
        <v>ASS SEM</v>
      </c>
      <c r="R8" t="s">
        <v>96</v>
      </c>
      <c r="S8" t="str">
        <v>CEN ACU</v>
      </c>
    </row>
    <row r="9" spans="1:19" x14ac:dyDescent="0.2">
      <c r="A9" s="8" t="s">
        <v>104</v>
      </c>
      <c r="B9" s="8" t="s">
        <v>105</v>
      </c>
      <c r="C9" t="e">
        <f t="shared" si="3"/>
        <v>#VALUE!</v>
      </c>
      <c r="D9" s="5" t="s">
        <v>106</v>
      </c>
      <c r="E9" t="s">
        <v>102</v>
      </c>
      <c r="G9">
        <v>11</v>
      </c>
      <c r="H9" s="5" t="s">
        <v>107</v>
      </c>
      <c r="I9" t="s">
        <v>101</v>
      </c>
      <c r="K9" t="s">
        <v>164</v>
      </c>
      <c r="L9">
        <f t="shared" si="0"/>
        <v>22</v>
      </c>
      <c r="M9" t="s">
        <v>164</v>
      </c>
      <c r="N9">
        <f t="shared" si="1"/>
        <v>22</v>
      </c>
      <c r="O9" s="10" t="str">
        <f t="shared" si="2"/>
        <v>CEN ACU</v>
      </c>
      <c r="R9" t="s">
        <v>117</v>
      </c>
      <c r="S9" t="str">
        <v>CEN AER</v>
      </c>
    </row>
    <row r="10" spans="1:19" ht="16" thickBot="1" x14ac:dyDescent="0.25">
      <c r="A10" s="11" t="s">
        <v>109</v>
      </c>
      <c r="B10" s="12" t="s">
        <v>110</v>
      </c>
      <c r="C10" t="str">
        <f t="shared" si="3"/>
        <v>ARC DIS</v>
      </c>
      <c r="D10" s="5" t="s">
        <v>110</v>
      </c>
      <c r="E10" t="s">
        <v>102</v>
      </c>
      <c r="G10">
        <v>11</v>
      </c>
      <c r="H10" s="5" t="s">
        <v>111</v>
      </c>
      <c r="I10" t="s">
        <v>101</v>
      </c>
      <c r="K10" t="s">
        <v>186</v>
      </c>
      <c r="L10">
        <f t="shared" si="0"/>
        <v>35</v>
      </c>
      <c r="M10" t="s">
        <v>186</v>
      </c>
      <c r="N10">
        <f t="shared" si="1"/>
        <v>35</v>
      </c>
      <c r="O10" s="10" t="str">
        <f t="shared" si="2"/>
        <v>CEN AER</v>
      </c>
      <c r="R10" t="s">
        <v>122</v>
      </c>
      <c r="S10" t="str">
        <v>COR TRI</v>
      </c>
    </row>
    <row r="11" spans="1:19" x14ac:dyDescent="0.2">
      <c r="A11" s="8" t="s">
        <v>114</v>
      </c>
      <c r="B11" s="8" t="s">
        <v>100</v>
      </c>
      <c r="C11" t="e">
        <f t="shared" si="3"/>
        <v>#VALUE!</v>
      </c>
      <c r="D11" s="5" t="s">
        <v>100</v>
      </c>
      <c r="E11" t="s">
        <v>101</v>
      </c>
      <c r="G11">
        <v>14</v>
      </c>
      <c r="H11" s="5" t="s">
        <v>115</v>
      </c>
      <c r="I11" t="s">
        <v>116</v>
      </c>
      <c r="K11" t="s">
        <v>208</v>
      </c>
      <c r="L11">
        <f t="shared" si="0"/>
        <v>50</v>
      </c>
      <c r="M11" t="s">
        <v>208</v>
      </c>
      <c r="N11">
        <f t="shared" si="1"/>
        <v>50</v>
      </c>
      <c r="O11" s="10" t="str">
        <f t="shared" si="2"/>
        <v>COR TRI</v>
      </c>
      <c r="R11" t="s">
        <v>125</v>
      </c>
      <c r="S11" t="str">
        <v>CRY OVI</v>
      </c>
    </row>
    <row r="12" spans="1:19" x14ac:dyDescent="0.2">
      <c r="A12" s="13" t="s">
        <v>118</v>
      </c>
      <c r="B12" s="8" t="s">
        <v>107</v>
      </c>
      <c r="C12" t="str">
        <f t="shared" si="3"/>
        <v>ARC GIB</v>
      </c>
      <c r="D12" s="5" t="s">
        <v>107</v>
      </c>
      <c r="E12" t="s">
        <v>101</v>
      </c>
      <c r="G12">
        <v>28</v>
      </c>
      <c r="H12" s="5" t="s">
        <v>119</v>
      </c>
      <c r="I12" t="s">
        <v>120</v>
      </c>
      <c r="K12" t="s">
        <v>223</v>
      </c>
      <c r="L12">
        <f t="shared" si="0"/>
        <v>49</v>
      </c>
      <c r="M12" t="s">
        <v>223</v>
      </c>
      <c r="N12">
        <f t="shared" si="1"/>
        <v>49</v>
      </c>
      <c r="O12" s="10" t="str">
        <f t="shared" si="2"/>
        <v>CRY OVI</v>
      </c>
      <c r="R12" t="s">
        <v>216</v>
      </c>
      <c r="S12" t="str">
        <v>CYC ARC</v>
      </c>
    </row>
    <row r="13" spans="1:19" x14ac:dyDescent="0.2">
      <c r="A13" s="13"/>
      <c r="B13" s="8" t="s">
        <v>111</v>
      </c>
      <c r="C13" t="e">
        <f t="shared" si="3"/>
        <v>#VALUE!</v>
      </c>
      <c r="D13" s="5" t="s">
        <v>111</v>
      </c>
      <c r="E13" t="s">
        <v>101</v>
      </c>
      <c r="G13">
        <v>15</v>
      </c>
      <c r="H13" s="5" t="s">
        <v>106</v>
      </c>
      <c r="I13" t="s">
        <v>102</v>
      </c>
      <c r="K13" t="s">
        <v>222</v>
      </c>
      <c r="L13">
        <f t="shared" si="0"/>
        <v>27</v>
      </c>
      <c r="M13" t="s">
        <v>222</v>
      </c>
      <c r="N13">
        <f t="shared" si="1"/>
        <v>27</v>
      </c>
      <c r="O13" s="10" t="str">
        <f t="shared" si="2"/>
        <v>CYC ARC</v>
      </c>
      <c r="R13" t="s">
        <v>148</v>
      </c>
      <c r="S13" t="str">
        <v>DIF OBL</v>
      </c>
    </row>
    <row r="14" spans="1:19" x14ac:dyDescent="0.2">
      <c r="A14" s="13"/>
      <c r="B14" s="8" t="s">
        <v>114</v>
      </c>
      <c r="C14" t="e">
        <f t="shared" si="3"/>
        <v>#VALUE!</v>
      </c>
      <c r="D14" s="5" t="s">
        <v>124</v>
      </c>
      <c r="E14" t="s">
        <v>101</v>
      </c>
      <c r="G14">
        <v>11</v>
      </c>
      <c r="H14" s="5" t="s">
        <v>124</v>
      </c>
      <c r="I14" t="s">
        <v>101</v>
      </c>
      <c r="K14" t="s">
        <v>273</v>
      </c>
      <c r="L14">
        <f t="shared" si="0"/>
        <v>4</v>
      </c>
      <c r="M14" t="s">
        <v>273</v>
      </c>
      <c r="N14">
        <f t="shared" si="1"/>
        <v>4</v>
      </c>
      <c r="O14" s="10" t="str">
        <f t="shared" si="2"/>
        <v>DIF OBL</v>
      </c>
      <c r="R14" t="s">
        <v>151</v>
      </c>
      <c r="S14" t="str">
        <v>DIF LUC</v>
      </c>
    </row>
    <row r="15" spans="1:19" ht="16" thickBot="1" x14ac:dyDescent="0.25">
      <c r="A15" s="11"/>
      <c r="B15" s="12" t="s">
        <v>126</v>
      </c>
      <c r="C15" t="e">
        <f t="shared" si="3"/>
        <v>#VALUE!</v>
      </c>
      <c r="D15" s="5" t="s">
        <v>126</v>
      </c>
      <c r="E15" t="s">
        <v>101</v>
      </c>
      <c r="G15">
        <v>10</v>
      </c>
      <c r="H15" s="5" t="s">
        <v>127</v>
      </c>
      <c r="I15" t="s">
        <v>128</v>
      </c>
      <c r="K15" t="s">
        <v>280</v>
      </c>
      <c r="L15">
        <f t="shared" si="0"/>
        <v>25</v>
      </c>
      <c r="M15" t="s">
        <v>280</v>
      </c>
      <c r="N15">
        <f t="shared" si="1"/>
        <v>25</v>
      </c>
      <c r="O15" s="10" t="str">
        <f t="shared" si="2"/>
        <v>DIF LUC</v>
      </c>
      <c r="R15" t="s">
        <v>154</v>
      </c>
      <c r="S15" t="str">
        <v>CRY SAC</v>
      </c>
    </row>
    <row r="16" spans="1:19" x14ac:dyDescent="0.2">
      <c r="A16" s="8" t="s">
        <v>130</v>
      </c>
      <c r="B16" s="8" t="s">
        <v>127</v>
      </c>
      <c r="C16" t="e">
        <f t="shared" si="3"/>
        <v>#VALUE!</v>
      </c>
      <c r="D16" s="5" t="s">
        <v>127</v>
      </c>
      <c r="E16" t="s">
        <v>128</v>
      </c>
      <c r="G16">
        <v>11</v>
      </c>
      <c r="H16" s="5" t="s">
        <v>126</v>
      </c>
      <c r="I16" t="s">
        <v>101</v>
      </c>
      <c r="K16" t="s">
        <v>7</v>
      </c>
      <c r="L16">
        <f t="shared" si="0"/>
        <v>36</v>
      </c>
      <c r="M16" t="s">
        <v>7</v>
      </c>
      <c r="N16">
        <f t="shared" si="1"/>
        <v>36</v>
      </c>
      <c r="O16" s="10" t="str">
        <f t="shared" si="2"/>
        <v>CRY SAC</v>
      </c>
      <c r="R16" t="s">
        <v>156</v>
      </c>
      <c r="S16" t="str">
        <v>EUG ROT</v>
      </c>
    </row>
    <row r="17" spans="1:19" ht="16" thickBot="1" x14ac:dyDescent="0.25">
      <c r="A17" s="11" t="s">
        <v>132</v>
      </c>
      <c r="B17" s="12" t="s">
        <v>133</v>
      </c>
      <c r="C17" t="str">
        <f t="shared" si="3"/>
        <v>ARC HEM</v>
      </c>
      <c r="D17" s="5" t="s">
        <v>133</v>
      </c>
      <c r="E17" t="s">
        <v>128</v>
      </c>
      <c r="G17">
        <v>15</v>
      </c>
      <c r="H17" s="5" t="s">
        <v>110</v>
      </c>
      <c r="I17" t="s">
        <v>102</v>
      </c>
      <c r="K17" t="s">
        <v>311</v>
      </c>
      <c r="L17">
        <f t="shared" si="0"/>
        <v>38</v>
      </c>
      <c r="M17" t="s">
        <v>311</v>
      </c>
      <c r="N17">
        <f t="shared" si="1"/>
        <v>38</v>
      </c>
      <c r="O17" s="10" t="str">
        <f t="shared" si="2"/>
        <v>EUG ROT</v>
      </c>
      <c r="R17" t="s">
        <v>171</v>
      </c>
      <c r="S17" t="str">
        <v>EUG CIL</v>
      </c>
    </row>
    <row r="18" spans="1:19" x14ac:dyDescent="0.2">
      <c r="A18" s="8" t="s">
        <v>135</v>
      </c>
      <c r="B18" s="8" t="s">
        <v>115</v>
      </c>
      <c r="C18" t="e">
        <f t="shared" si="3"/>
        <v>#VALUE!</v>
      </c>
      <c r="D18" s="5" t="s">
        <v>115</v>
      </c>
      <c r="E18" t="s">
        <v>116</v>
      </c>
      <c r="H18" s="5" t="s">
        <v>136</v>
      </c>
      <c r="I18" t="s">
        <v>108</v>
      </c>
      <c r="K18" t="s">
        <v>317</v>
      </c>
      <c r="L18">
        <f t="shared" si="0"/>
        <v>33</v>
      </c>
      <c r="M18" t="s">
        <v>317</v>
      </c>
      <c r="N18">
        <f t="shared" si="1"/>
        <v>33</v>
      </c>
      <c r="O18" s="10" t="str">
        <f t="shared" si="2"/>
        <v>EUG CIL</v>
      </c>
      <c r="R18" t="s">
        <v>292</v>
      </c>
      <c r="S18" t="str">
        <v>ARC DIS</v>
      </c>
    </row>
    <row r="19" spans="1:19" ht="16" thickBot="1" x14ac:dyDescent="0.25">
      <c r="A19" s="11" t="s">
        <v>138</v>
      </c>
      <c r="B19" s="12" t="s">
        <v>135</v>
      </c>
      <c r="C19" t="str">
        <f t="shared" si="3"/>
        <v>ARC VUL</v>
      </c>
      <c r="D19" s="5" t="s">
        <v>139</v>
      </c>
      <c r="E19" t="s">
        <v>116</v>
      </c>
      <c r="G19">
        <v>41</v>
      </c>
      <c r="H19" s="5" t="s">
        <v>103</v>
      </c>
      <c r="I19" t="s">
        <v>94</v>
      </c>
      <c r="K19" t="s">
        <v>105</v>
      </c>
      <c r="L19">
        <f t="shared" si="0"/>
        <v>15</v>
      </c>
      <c r="M19" t="s">
        <v>105</v>
      </c>
      <c r="N19">
        <f t="shared" si="1"/>
        <v>15</v>
      </c>
      <c r="O19" s="10" t="str">
        <f t="shared" si="2"/>
        <v>ARC DIS</v>
      </c>
      <c r="R19" t="s">
        <v>102</v>
      </c>
      <c r="S19" t="str">
        <v>HEL PET</v>
      </c>
    </row>
    <row r="20" spans="1:19" x14ac:dyDescent="0.2">
      <c r="A20" s="8" t="s">
        <v>141</v>
      </c>
      <c r="B20" s="8" t="s">
        <v>142</v>
      </c>
      <c r="C20" t="e">
        <f t="shared" si="3"/>
        <v>#VALUE!</v>
      </c>
      <c r="D20" s="5" t="s">
        <v>142</v>
      </c>
      <c r="E20" t="s">
        <v>143</v>
      </c>
      <c r="G20">
        <v>10</v>
      </c>
      <c r="H20" s="5" t="s">
        <v>133</v>
      </c>
      <c r="I20" t="s">
        <v>128</v>
      </c>
      <c r="K20" t="s">
        <v>327</v>
      </c>
      <c r="L20">
        <f t="shared" si="0"/>
        <v>30</v>
      </c>
      <c r="M20" t="s">
        <v>327</v>
      </c>
      <c r="N20">
        <f t="shared" si="1"/>
        <v>30</v>
      </c>
      <c r="O20" s="10" t="str">
        <f t="shared" si="2"/>
        <v>HEL PET</v>
      </c>
      <c r="R20" t="s">
        <v>129</v>
      </c>
      <c r="S20" t="str">
        <v>HEL ROS</v>
      </c>
    </row>
    <row r="21" spans="1:19" ht="16" thickBot="1" x14ac:dyDescent="0.25">
      <c r="A21" s="11" t="s">
        <v>145</v>
      </c>
      <c r="B21" s="12" t="s">
        <v>146</v>
      </c>
      <c r="C21" t="str">
        <f t="shared" si="3"/>
        <v>ARG DEN</v>
      </c>
      <c r="D21" s="5" t="s">
        <v>147</v>
      </c>
      <c r="E21" t="s">
        <v>143</v>
      </c>
      <c r="G21">
        <v>14</v>
      </c>
      <c r="H21" s="5" t="s">
        <v>139</v>
      </c>
      <c r="I21" t="s">
        <v>116</v>
      </c>
      <c r="K21" t="s">
        <v>25</v>
      </c>
      <c r="L21">
        <f t="shared" si="0"/>
        <v>39</v>
      </c>
      <c r="M21" t="s">
        <v>25</v>
      </c>
      <c r="N21">
        <f t="shared" si="1"/>
        <v>39</v>
      </c>
      <c r="O21" s="10" t="str">
        <f t="shared" si="2"/>
        <v>HEL ROS</v>
      </c>
      <c r="R21" t="s">
        <v>333</v>
      </c>
      <c r="S21" t="str">
        <v>HEL SYL</v>
      </c>
    </row>
    <row r="22" spans="1:19" x14ac:dyDescent="0.2">
      <c r="A22" s="8" t="s">
        <v>149</v>
      </c>
      <c r="B22" s="8" t="s">
        <v>4</v>
      </c>
      <c r="C22" t="e">
        <f t="shared" si="3"/>
        <v>#VALUE!</v>
      </c>
      <c r="D22" s="5" t="s">
        <v>4</v>
      </c>
      <c r="E22" t="s">
        <v>89</v>
      </c>
      <c r="G22">
        <v>18</v>
      </c>
      <c r="H22" s="5" t="s">
        <v>150</v>
      </c>
      <c r="I22" t="s">
        <v>91</v>
      </c>
      <c r="K22" t="s">
        <v>26</v>
      </c>
      <c r="L22">
        <f t="shared" si="0"/>
        <v>30</v>
      </c>
      <c r="M22" t="s">
        <v>26</v>
      </c>
      <c r="N22">
        <f t="shared" si="1"/>
        <v>30</v>
      </c>
      <c r="O22" s="10" t="str">
        <f t="shared" si="2"/>
        <v>HEL PET</v>
      </c>
      <c r="R22" t="s">
        <v>129</v>
      </c>
      <c r="S22" t="str">
        <v>HEL ELE</v>
      </c>
    </row>
    <row r="23" spans="1:19" x14ac:dyDescent="0.2">
      <c r="A23" s="13" t="s">
        <v>152</v>
      </c>
      <c r="B23" s="8" t="s">
        <v>153</v>
      </c>
      <c r="C23" t="str">
        <f t="shared" si="3"/>
        <v>ASS MUS</v>
      </c>
      <c r="D23" s="5" t="s">
        <v>153</v>
      </c>
      <c r="E23" t="s">
        <v>89</v>
      </c>
      <c r="G23">
        <v>47</v>
      </c>
      <c r="H23" s="5" t="s">
        <v>153</v>
      </c>
      <c r="I23" t="s">
        <v>89</v>
      </c>
      <c r="K23" t="s">
        <v>27</v>
      </c>
      <c r="L23">
        <f t="shared" si="0"/>
        <v>37</v>
      </c>
      <c r="M23" t="s">
        <v>27</v>
      </c>
      <c r="N23">
        <f t="shared" si="1"/>
        <v>37</v>
      </c>
      <c r="O23" s="10" t="str">
        <f t="shared" si="2"/>
        <v>HEL SYL</v>
      </c>
      <c r="R23" t="s">
        <v>131</v>
      </c>
      <c r="S23" t="str">
        <v>NEB COL</v>
      </c>
    </row>
    <row r="24" spans="1:19" ht="16" thickBot="1" x14ac:dyDescent="0.25">
      <c r="A24" s="11"/>
      <c r="B24" s="12" t="s">
        <v>155</v>
      </c>
      <c r="C24" t="e">
        <f t="shared" si="3"/>
        <v>#VALUE!</v>
      </c>
      <c r="D24" s="5" t="s">
        <v>155</v>
      </c>
      <c r="E24" t="s">
        <v>89</v>
      </c>
      <c r="G24">
        <v>47</v>
      </c>
      <c r="H24" s="5" t="s">
        <v>4</v>
      </c>
      <c r="I24" t="s">
        <v>89</v>
      </c>
      <c r="K24" t="s">
        <v>28</v>
      </c>
      <c r="L24">
        <f t="shared" si="0"/>
        <v>26</v>
      </c>
      <c r="M24" t="s">
        <v>28</v>
      </c>
      <c r="N24">
        <f t="shared" si="1"/>
        <v>26</v>
      </c>
      <c r="O24" s="10" t="str">
        <f t="shared" si="2"/>
        <v>HEL ELE</v>
      </c>
      <c r="R24" t="s">
        <v>144</v>
      </c>
      <c r="S24" t="str">
        <v>HYA PAP</v>
      </c>
    </row>
    <row r="25" spans="1:19" x14ac:dyDescent="0.2">
      <c r="A25" s="8" t="s">
        <v>157</v>
      </c>
      <c r="B25" s="8" t="s">
        <v>158</v>
      </c>
      <c r="C25" t="e">
        <f t="shared" si="3"/>
        <v>#VALUE!</v>
      </c>
      <c r="D25" s="5" t="s">
        <v>158</v>
      </c>
      <c r="E25" t="s">
        <v>96</v>
      </c>
      <c r="G25">
        <v>40</v>
      </c>
      <c r="H25" s="5" t="s">
        <v>158</v>
      </c>
      <c r="I25" t="s">
        <v>96</v>
      </c>
      <c r="K25" t="s">
        <v>29</v>
      </c>
      <c r="L25">
        <f t="shared" si="0"/>
        <v>29</v>
      </c>
      <c r="M25" t="s">
        <v>29</v>
      </c>
      <c r="N25">
        <f t="shared" si="1"/>
        <v>29</v>
      </c>
      <c r="O25" s="10" t="str">
        <f t="shared" si="2"/>
        <v>NEB COL</v>
      </c>
      <c r="R25" t="s">
        <v>137</v>
      </c>
      <c r="S25" t="str">
        <v>HYA SUB</v>
      </c>
    </row>
    <row r="26" spans="1:19" ht="16" thickBot="1" x14ac:dyDescent="0.25">
      <c r="A26" s="11" t="s">
        <v>160</v>
      </c>
      <c r="B26" s="12" t="s">
        <v>11</v>
      </c>
      <c r="C26" t="str">
        <f t="shared" si="3"/>
        <v>ASS SEM</v>
      </c>
      <c r="D26" s="5" t="s">
        <v>11</v>
      </c>
      <c r="E26" t="s">
        <v>96</v>
      </c>
      <c r="G26">
        <v>40</v>
      </c>
      <c r="H26" s="5" t="s">
        <v>11</v>
      </c>
      <c r="I26" t="s">
        <v>96</v>
      </c>
      <c r="K26" t="s">
        <v>346</v>
      </c>
      <c r="L26">
        <f t="shared" si="0"/>
        <v>42</v>
      </c>
      <c r="M26" t="s">
        <v>346</v>
      </c>
      <c r="N26">
        <f t="shared" si="1"/>
        <v>42</v>
      </c>
      <c r="O26" s="10" t="str">
        <f t="shared" si="2"/>
        <v>HYA PAP</v>
      </c>
      <c r="R26" t="s">
        <v>140</v>
      </c>
      <c r="S26" t="str">
        <v>NEB FLA</v>
      </c>
    </row>
    <row r="27" spans="1:19" x14ac:dyDescent="0.2">
      <c r="A27" s="8" t="s">
        <v>163</v>
      </c>
      <c r="B27" s="8" t="s">
        <v>163</v>
      </c>
      <c r="C27" t="e">
        <f t="shared" si="3"/>
        <v>#VALUE!</v>
      </c>
      <c r="D27" s="5" t="s">
        <v>164</v>
      </c>
      <c r="E27" t="s">
        <v>117</v>
      </c>
      <c r="G27">
        <v>30</v>
      </c>
      <c r="H27" s="5" t="s">
        <v>165</v>
      </c>
      <c r="I27" t="s">
        <v>129</v>
      </c>
      <c r="K27" t="s">
        <v>31</v>
      </c>
      <c r="L27">
        <f t="shared" si="0"/>
        <v>31</v>
      </c>
      <c r="M27" t="s">
        <v>31</v>
      </c>
      <c r="N27">
        <f t="shared" si="1"/>
        <v>31</v>
      </c>
      <c r="O27" s="10" t="str">
        <f t="shared" si="2"/>
        <v>HYA SUB</v>
      </c>
      <c r="R27" t="s">
        <v>134</v>
      </c>
      <c r="S27" t="str">
        <v>NEB TIN</v>
      </c>
    </row>
    <row r="28" spans="1:19" x14ac:dyDescent="0.2">
      <c r="A28" s="13" t="s">
        <v>166</v>
      </c>
      <c r="B28" s="8" t="s">
        <v>167</v>
      </c>
      <c r="C28" t="str">
        <f t="shared" si="3"/>
        <v>CEN ACU</v>
      </c>
      <c r="D28" s="5" t="s">
        <v>168</v>
      </c>
      <c r="E28" t="s">
        <v>117</v>
      </c>
      <c r="G28">
        <v>48</v>
      </c>
      <c r="H28" s="5" t="s">
        <v>169</v>
      </c>
      <c r="I28" t="s">
        <v>170</v>
      </c>
      <c r="K28" t="s">
        <v>354</v>
      </c>
      <c r="L28">
        <f t="shared" si="0"/>
        <v>29</v>
      </c>
      <c r="M28" t="s">
        <v>354</v>
      </c>
      <c r="N28">
        <f t="shared" si="1"/>
        <v>29</v>
      </c>
      <c r="O28" s="10" t="str">
        <f t="shared" si="2"/>
        <v>NEB COL</v>
      </c>
      <c r="R28" t="s">
        <v>137</v>
      </c>
      <c r="S28" t="str">
        <v>GIB PEN</v>
      </c>
    </row>
    <row r="29" spans="1:19" x14ac:dyDescent="0.2">
      <c r="A29" s="13"/>
      <c r="B29" s="8" t="s">
        <v>172</v>
      </c>
      <c r="C29" t="e">
        <f t="shared" si="3"/>
        <v>#VALUE!</v>
      </c>
      <c r="D29" s="5" t="s">
        <v>173</v>
      </c>
      <c r="E29" t="s">
        <v>117</v>
      </c>
      <c r="H29" s="5" t="s">
        <v>174</v>
      </c>
      <c r="I29" t="s">
        <v>175</v>
      </c>
      <c r="K29" t="s">
        <v>161</v>
      </c>
      <c r="L29">
        <f t="shared" si="0"/>
        <v>43</v>
      </c>
      <c r="M29" t="s">
        <v>161</v>
      </c>
      <c r="N29">
        <f t="shared" si="1"/>
        <v>43</v>
      </c>
      <c r="O29" s="10" t="str">
        <f t="shared" si="2"/>
        <v>NEB FLA</v>
      </c>
      <c r="R29" t="s">
        <v>162</v>
      </c>
      <c r="S29" t="str">
        <v>TRI ARC</v>
      </c>
    </row>
    <row r="30" spans="1:19" x14ac:dyDescent="0.2">
      <c r="A30" s="13"/>
      <c r="B30" s="8" t="s">
        <v>177</v>
      </c>
      <c r="C30" t="e">
        <f t="shared" si="3"/>
        <v>#VALUE!</v>
      </c>
      <c r="D30" s="5" t="s">
        <v>178</v>
      </c>
      <c r="E30" t="s">
        <v>117</v>
      </c>
      <c r="G30">
        <v>22</v>
      </c>
      <c r="H30" s="5" t="s">
        <v>164</v>
      </c>
      <c r="I30" t="s">
        <v>117</v>
      </c>
      <c r="K30" t="s">
        <v>34</v>
      </c>
      <c r="L30">
        <f t="shared" si="0"/>
        <v>44</v>
      </c>
      <c r="M30" t="s">
        <v>34</v>
      </c>
      <c r="N30" s="3">
        <f t="shared" si="1"/>
        <v>44</v>
      </c>
      <c r="O30" s="10" t="str">
        <f t="shared" si="2"/>
        <v>NEB TIN</v>
      </c>
      <c r="R30" t="s">
        <v>364</v>
      </c>
    </row>
    <row r="31" spans="1:19" x14ac:dyDescent="0.2">
      <c r="A31" s="13"/>
      <c r="B31" s="8" t="s">
        <v>179</v>
      </c>
      <c r="C31" t="e">
        <f t="shared" si="3"/>
        <v>#VALUE!</v>
      </c>
      <c r="D31" s="5" t="s">
        <v>179</v>
      </c>
      <c r="E31" t="s">
        <v>117</v>
      </c>
      <c r="G31">
        <v>22</v>
      </c>
      <c r="H31" s="5" t="s">
        <v>178</v>
      </c>
      <c r="I31" t="s">
        <v>117</v>
      </c>
      <c r="K31" t="s">
        <v>326</v>
      </c>
      <c r="L31">
        <f>_xlfn.XLOOKUP(K31 &amp; "*",H$3:H$184,G$3:G$184,"Not found",2)</f>
        <v>17</v>
      </c>
      <c r="M31" t="s">
        <v>326</v>
      </c>
      <c r="N31">
        <f t="shared" si="1"/>
        <v>17</v>
      </c>
      <c r="O31" s="10" t="str">
        <f t="shared" si="2"/>
        <v>GIB PEN</v>
      </c>
      <c r="R31" t="s">
        <v>323</v>
      </c>
    </row>
    <row r="32" spans="1:19" x14ac:dyDescent="0.2">
      <c r="A32" s="13"/>
      <c r="B32" s="8" t="s">
        <v>180</v>
      </c>
      <c r="C32" t="e">
        <f t="shared" si="3"/>
        <v>#VALUE!</v>
      </c>
      <c r="D32" s="5" t="s">
        <v>180</v>
      </c>
      <c r="E32" t="s">
        <v>117</v>
      </c>
      <c r="G32">
        <v>22</v>
      </c>
      <c r="H32" s="5" t="s">
        <v>168</v>
      </c>
      <c r="I32" t="s">
        <v>117</v>
      </c>
      <c r="K32" s="9" t="s">
        <v>36</v>
      </c>
      <c r="L32">
        <f>_xlfn.XLOOKUP(K32 &amp; "*",H$3:H$184,G$3:G$184,"Not found",2)</f>
        <v>25</v>
      </c>
      <c r="M32" s="9" t="s">
        <v>36</v>
      </c>
      <c r="N32">
        <f t="shared" si="1"/>
        <v>25</v>
      </c>
      <c r="O32" s="10" t="str">
        <f t="shared" si="2"/>
        <v>DIF LUC</v>
      </c>
      <c r="R32" t="s">
        <v>154</v>
      </c>
    </row>
    <row r="33" spans="1:18" ht="16" thickBot="1" x14ac:dyDescent="0.25">
      <c r="A33" s="11"/>
      <c r="B33" s="12" t="s">
        <v>181</v>
      </c>
      <c r="C33" t="e">
        <f t="shared" si="3"/>
        <v>#VALUE!</v>
      </c>
      <c r="D33" s="5" t="s">
        <v>181</v>
      </c>
      <c r="E33" t="s">
        <v>117</v>
      </c>
      <c r="G33">
        <v>22</v>
      </c>
      <c r="H33" s="5" t="s">
        <v>173</v>
      </c>
      <c r="I33" t="s">
        <v>117</v>
      </c>
      <c r="K33" s="9" t="s">
        <v>286</v>
      </c>
      <c r="L33">
        <f>_xlfn.XLOOKUP(K33 &amp; "*",H$3:H$184,G$3:G$184,"Not found",2)</f>
        <v>25</v>
      </c>
      <c r="M33" s="9" t="s">
        <v>286</v>
      </c>
      <c r="N33">
        <f t="shared" si="1"/>
        <v>25</v>
      </c>
      <c r="O33" s="10" t="str">
        <f t="shared" si="2"/>
        <v>DIF LUC</v>
      </c>
      <c r="R33" t="s">
        <v>154</v>
      </c>
    </row>
    <row r="34" spans="1:18" x14ac:dyDescent="0.2">
      <c r="A34" s="8" t="s">
        <v>182</v>
      </c>
      <c r="B34" s="8" t="s">
        <v>121</v>
      </c>
      <c r="C34" t="e">
        <f t="shared" si="3"/>
        <v>#VALUE!</v>
      </c>
      <c r="D34" s="5" t="s">
        <v>121</v>
      </c>
      <c r="E34" t="s">
        <v>122</v>
      </c>
      <c r="G34">
        <v>35</v>
      </c>
      <c r="H34" s="5" t="s">
        <v>121</v>
      </c>
      <c r="I34" t="s">
        <v>122</v>
      </c>
      <c r="K34" s="9" t="s">
        <v>415</v>
      </c>
      <c r="L34">
        <f>_xlfn.XLOOKUP(K34 &amp; "*",H$3:H$184,G$3:G$184,"Not found",2)</f>
        <v>52</v>
      </c>
      <c r="M34" s="9" t="s">
        <v>415</v>
      </c>
      <c r="N34">
        <f t="shared" si="1"/>
        <v>52</v>
      </c>
      <c r="O34" s="10" t="str">
        <f t="shared" si="2"/>
        <v>TRI ARC</v>
      </c>
      <c r="R34" t="s">
        <v>176</v>
      </c>
    </row>
    <row r="35" spans="1:18" x14ac:dyDescent="0.2">
      <c r="A35" s="13" t="s">
        <v>185</v>
      </c>
      <c r="B35" s="8" t="s">
        <v>123</v>
      </c>
      <c r="C35" t="str">
        <f t="shared" si="3"/>
        <v>CEN AER</v>
      </c>
      <c r="D35" s="5" t="s">
        <v>186</v>
      </c>
      <c r="E35" t="s">
        <v>122</v>
      </c>
      <c r="G35">
        <v>35</v>
      </c>
      <c r="H35" s="5" t="s">
        <v>186</v>
      </c>
      <c r="I35" t="s">
        <v>122</v>
      </c>
      <c r="K35" s="9"/>
      <c r="M35" s="14"/>
    </row>
    <row r="36" spans="1:18" x14ac:dyDescent="0.2">
      <c r="A36" s="13"/>
      <c r="B36" s="8" t="s">
        <v>187</v>
      </c>
      <c r="C36" t="e">
        <f t="shared" si="3"/>
        <v>#VALUE!</v>
      </c>
      <c r="D36" s="5" t="s">
        <v>187</v>
      </c>
      <c r="E36" t="s">
        <v>122</v>
      </c>
      <c r="G36">
        <v>35</v>
      </c>
      <c r="H36" s="5" t="s">
        <v>187</v>
      </c>
      <c r="I36" t="s">
        <v>122</v>
      </c>
      <c r="K36" s="9"/>
      <c r="M36" s="14"/>
      <c r="Q36" t="s">
        <v>188</v>
      </c>
    </row>
    <row r="37" spans="1:18" x14ac:dyDescent="0.2">
      <c r="A37" s="13"/>
      <c r="B37" s="8" t="s">
        <v>189</v>
      </c>
      <c r="C37" t="e">
        <f t="shared" si="3"/>
        <v>#VALUE!</v>
      </c>
      <c r="D37" s="5" t="s">
        <v>189</v>
      </c>
      <c r="E37" t="s">
        <v>122</v>
      </c>
      <c r="G37">
        <v>45</v>
      </c>
      <c r="H37" s="5" t="s">
        <v>190</v>
      </c>
      <c r="I37" t="s">
        <v>191</v>
      </c>
      <c r="K37" s="9"/>
      <c r="M37" s="14"/>
    </row>
    <row r="38" spans="1:18" x14ac:dyDescent="0.2">
      <c r="A38" s="13"/>
      <c r="B38" s="8" t="s">
        <v>192</v>
      </c>
      <c r="C38" t="e">
        <f t="shared" si="3"/>
        <v>#VALUE!</v>
      </c>
      <c r="D38" s="5" t="s">
        <v>192</v>
      </c>
      <c r="E38" t="s">
        <v>122</v>
      </c>
      <c r="G38">
        <v>45</v>
      </c>
      <c r="H38" s="5" t="s">
        <v>193</v>
      </c>
      <c r="I38" t="s">
        <v>191</v>
      </c>
      <c r="K38" s="9"/>
      <c r="M38" s="5"/>
    </row>
    <row r="39" spans="1:18" x14ac:dyDescent="0.2">
      <c r="A39" s="13"/>
      <c r="B39" s="8" t="s">
        <v>194</v>
      </c>
      <c r="C39" t="e">
        <f t="shared" si="3"/>
        <v>#VALUE!</v>
      </c>
      <c r="D39" s="5" t="s">
        <v>195</v>
      </c>
      <c r="E39" t="s">
        <v>122</v>
      </c>
      <c r="G39">
        <v>27</v>
      </c>
      <c r="H39" s="5" t="s">
        <v>196</v>
      </c>
      <c r="I39" t="s">
        <v>148</v>
      </c>
      <c r="K39" s="9"/>
      <c r="M39" s="14"/>
    </row>
    <row r="40" spans="1:18" x14ac:dyDescent="0.2">
      <c r="A40" s="13"/>
      <c r="B40" s="8" t="s">
        <v>197</v>
      </c>
      <c r="C40" t="e">
        <f t="shared" si="3"/>
        <v>#VALUE!</v>
      </c>
      <c r="D40" s="5" t="s">
        <v>197</v>
      </c>
      <c r="E40" t="s">
        <v>122</v>
      </c>
      <c r="G40">
        <v>22</v>
      </c>
      <c r="H40" s="5" t="s">
        <v>179</v>
      </c>
      <c r="I40" t="s">
        <v>117</v>
      </c>
      <c r="K40" s="9"/>
      <c r="M40" s="14"/>
    </row>
    <row r="41" spans="1:18" ht="16" thickBot="1" x14ac:dyDescent="0.25">
      <c r="A41" s="11"/>
      <c r="B41" s="12" t="s">
        <v>198</v>
      </c>
      <c r="C41" t="e">
        <f t="shared" si="3"/>
        <v>#VALUE!</v>
      </c>
      <c r="D41" s="5" t="s">
        <v>198</v>
      </c>
      <c r="E41" t="s">
        <v>122</v>
      </c>
      <c r="G41">
        <v>22</v>
      </c>
      <c r="H41" s="5" t="s">
        <v>180</v>
      </c>
      <c r="I41" t="s">
        <v>117</v>
      </c>
      <c r="K41" s="15"/>
      <c r="M41" s="14"/>
    </row>
    <row r="42" spans="1:18" x14ac:dyDescent="0.2">
      <c r="A42" s="8" t="s">
        <v>199</v>
      </c>
      <c r="B42" s="8" t="s">
        <v>200</v>
      </c>
      <c r="C42" t="e">
        <f t="shared" si="3"/>
        <v>#VALUE!</v>
      </c>
      <c r="D42" s="5" t="s">
        <v>200</v>
      </c>
      <c r="E42" t="s">
        <v>191</v>
      </c>
      <c r="G42">
        <v>45</v>
      </c>
      <c r="H42" s="5" t="s">
        <v>200</v>
      </c>
      <c r="I42" t="s">
        <v>191</v>
      </c>
      <c r="K42" s="15"/>
      <c r="M42" s="5"/>
    </row>
    <row r="43" spans="1:18" x14ac:dyDescent="0.2">
      <c r="A43" s="13" t="s">
        <v>201</v>
      </c>
      <c r="B43" s="8" t="s">
        <v>202</v>
      </c>
      <c r="C43" t="str">
        <f t="shared" si="3"/>
        <v>CEN ECO</v>
      </c>
      <c r="D43" s="5" t="s">
        <v>202</v>
      </c>
      <c r="E43" t="s">
        <v>191</v>
      </c>
      <c r="G43">
        <v>45</v>
      </c>
      <c r="H43" s="5" t="s">
        <v>200</v>
      </c>
      <c r="I43" t="s">
        <v>191</v>
      </c>
      <c r="K43" s="15"/>
      <c r="M43" s="14"/>
    </row>
    <row r="44" spans="1:18" x14ac:dyDescent="0.2">
      <c r="A44" s="13"/>
      <c r="B44" s="8" t="s">
        <v>200</v>
      </c>
      <c r="C44" t="e">
        <f t="shared" si="3"/>
        <v>#VALUE!</v>
      </c>
      <c r="D44" s="5" t="s">
        <v>200</v>
      </c>
      <c r="E44" t="s">
        <v>191</v>
      </c>
      <c r="G44">
        <v>45</v>
      </c>
      <c r="H44" s="5" t="s">
        <v>202</v>
      </c>
      <c r="I44" t="s">
        <v>191</v>
      </c>
      <c r="K44" s="15"/>
      <c r="M44" s="5"/>
      <c r="N44" s="3"/>
      <c r="O44" s="16"/>
    </row>
    <row r="45" spans="1:18" x14ac:dyDescent="0.2">
      <c r="A45" s="13"/>
      <c r="B45" s="8" t="s">
        <v>199</v>
      </c>
      <c r="C45" t="e">
        <f t="shared" si="3"/>
        <v>#VALUE!</v>
      </c>
      <c r="D45" s="5" t="s">
        <v>190</v>
      </c>
      <c r="E45" t="s">
        <v>191</v>
      </c>
      <c r="G45">
        <v>35</v>
      </c>
      <c r="H45" s="5" t="s">
        <v>189</v>
      </c>
      <c r="I45" t="s">
        <v>122</v>
      </c>
      <c r="K45" s="15"/>
      <c r="M45" s="14"/>
    </row>
    <row r="46" spans="1:18" ht="16" thickBot="1" x14ac:dyDescent="0.25">
      <c r="A46" s="11"/>
      <c r="B46" s="12" t="s">
        <v>203</v>
      </c>
      <c r="C46" t="e">
        <f t="shared" si="3"/>
        <v>#VALUE!</v>
      </c>
      <c r="D46" s="5" t="s">
        <v>193</v>
      </c>
      <c r="E46" t="s">
        <v>191</v>
      </c>
      <c r="G46">
        <v>35</v>
      </c>
      <c r="H46" s="5" t="s">
        <v>192</v>
      </c>
      <c r="I46" t="s">
        <v>122</v>
      </c>
      <c r="K46" s="15"/>
      <c r="M46" s="14"/>
      <c r="N46" s="3"/>
      <c r="O46" s="16"/>
    </row>
    <row r="47" spans="1:18" x14ac:dyDescent="0.2">
      <c r="A47" s="8" t="s">
        <v>204</v>
      </c>
      <c r="B47" s="8" t="s">
        <v>15</v>
      </c>
      <c r="C47" t="e">
        <f t="shared" si="3"/>
        <v>#VALUE!</v>
      </c>
      <c r="D47" s="5" t="s">
        <v>15</v>
      </c>
      <c r="E47" t="s">
        <v>125</v>
      </c>
      <c r="G47">
        <v>35</v>
      </c>
      <c r="H47" s="5" t="s">
        <v>195</v>
      </c>
      <c r="I47" t="s">
        <v>122</v>
      </c>
      <c r="K47" s="15"/>
      <c r="M47" s="5"/>
    </row>
    <row r="48" spans="1:18" x14ac:dyDescent="0.2">
      <c r="A48" s="13" t="s">
        <v>205</v>
      </c>
      <c r="B48" s="8" t="s">
        <v>206</v>
      </c>
      <c r="C48" t="str">
        <f t="shared" si="3"/>
        <v>COR TRI</v>
      </c>
      <c r="D48" s="5" t="s">
        <v>206</v>
      </c>
      <c r="E48" t="s">
        <v>125</v>
      </c>
      <c r="G48">
        <v>35</v>
      </c>
      <c r="H48" s="5" t="s">
        <v>197</v>
      </c>
      <c r="I48" t="s">
        <v>122</v>
      </c>
      <c r="K48" s="15"/>
      <c r="M48" s="14"/>
    </row>
    <row r="49" spans="1:15" x14ac:dyDescent="0.2">
      <c r="A49" s="13"/>
      <c r="B49" s="8" t="s">
        <v>207</v>
      </c>
      <c r="C49" t="e">
        <f t="shared" si="3"/>
        <v>#VALUE!</v>
      </c>
      <c r="D49" s="5" t="s">
        <v>208</v>
      </c>
      <c r="E49" t="s">
        <v>125</v>
      </c>
      <c r="G49">
        <v>22</v>
      </c>
      <c r="H49" s="5" t="s">
        <v>181</v>
      </c>
      <c r="I49" t="s">
        <v>117</v>
      </c>
      <c r="K49" s="15"/>
      <c r="M49" s="14"/>
      <c r="N49" s="3"/>
      <c r="O49" s="16"/>
    </row>
    <row r="50" spans="1:15" x14ac:dyDescent="0.2">
      <c r="A50" s="13"/>
      <c r="B50" s="8" t="s">
        <v>209</v>
      </c>
      <c r="C50" t="e">
        <f t="shared" si="3"/>
        <v>#VALUE!</v>
      </c>
      <c r="D50" s="5" t="s">
        <v>209</v>
      </c>
      <c r="E50" t="s">
        <v>125</v>
      </c>
      <c r="G50">
        <v>35</v>
      </c>
      <c r="H50" s="5" t="s">
        <v>198</v>
      </c>
      <c r="I50" t="s">
        <v>122</v>
      </c>
    </row>
    <row r="51" spans="1:15" x14ac:dyDescent="0.2">
      <c r="A51" s="13"/>
      <c r="B51" s="8" t="s">
        <v>210</v>
      </c>
      <c r="C51" t="e">
        <f t="shared" si="3"/>
        <v>#VALUE!</v>
      </c>
      <c r="D51" s="5" t="s">
        <v>210</v>
      </c>
      <c r="E51" t="s">
        <v>125</v>
      </c>
      <c r="G51">
        <v>50</v>
      </c>
      <c r="H51" s="5" t="s">
        <v>15</v>
      </c>
      <c r="I51" t="s">
        <v>125</v>
      </c>
    </row>
    <row r="52" spans="1:15" x14ac:dyDescent="0.2">
      <c r="A52" s="13"/>
      <c r="B52" s="8" t="s">
        <v>211</v>
      </c>
      <c r="C52" t="e">
        <f t="shared" si="3"/>
        <v>#VALUE!</v>
      </c>
      <c r="D52" s="5" t="s">
        <v>212</v>
      </c>
      <c r="E52" t="s">
        <v>125</v>
      </c>
      <c r="G52">
        <v>50</v>
      </c>
      <c r="H52" s="5" t="s">
        <v>206</v>
      </c>
      <c r="I52" t="s">
        <v>125</v>
      </c>
    </row>
    <row r="53" spans="1:15" ht="16" thickBot="1" x14ac:dyDescent="0.25">
      <c r="A53" s="11"/>
      <c r="B53" s="12" t="s">
        <v>213</v>
      </c>
      <c r="C53" t="e">
        <f t="shared" si="3"/>
        <v>#VALUE!</v>
      </c>
      <c r="D53" s="5" t="s">
        <v>213</v>
      </c>
      <c r="E53" t="s">
        <v>125</v>
      </c>
      <c r="G53">
        <v>50</v>
      </c>
      <c r="H53" s="5" t="s">
        <v>208</v>
      </c>
      <c r="I53" t="s">
        <v>125</v>
      </c>
    </row>
    <row r="54" spans="1:15" x14ac:dyDescent="0.2">
      <c r="A54" s="8" t="s">
        <v>214</v>
      </c>
      <c r="B54" s="8" t="s">
        <v>215</v>
      </c>
      <c r="C54" t="e">
        <f t="shared" si="3"/>
        <v>#VALUE!</v>
      </c>
      <c r="D54" s="5" t="s">
        <v>215</v>
      </c>
      <c r="E54" t="s">
        <v>216</v>
      </c>
      <c r="G54">
        <v>36</v>
      </c>
      <c r="H54" s="5" t="s">
        <v>217</v>
      </c>
      <c r="I54" t="s">
        <v>156</v>
      </c>
    </row>
    <row r="55" spans="1:15" x14ac:dyDescent="0.2">
      <c r="A55" s="13" t="s">
        <v>218</v>
      </c>
      <c r="B55" s="8" t="s">
        <v>219</v>
      </c>
      <c r="C55" t="str">
        <f t="shared" si="3"/>
        <v>CRY OVI</v>
      </c>
      <c r="D55" s="5" t="s">
        <v>219</v>
      </c>
      <c r="E55" t="s">
        <v>216</v>
      </c>
      <c r="G55">
        <v>49</v>
      </c>
      <c r="H55" s="5" t="s">
        <v>219</v>
      </c>
      <c r="I55" t="s">
        <v>216</v>
      </c>
    </row>
    <row r="56" spans="1:15" x14ac:dyDescent="0.2">
      <c r="A56" s="13"/>
      <c r="B56" s="8" t="s">
        <v>220</v>
      </c>
      <c r="C56" t="e">
        <f t="shared" si="3"/>
        <v>#VALUE!</v>
      </c>
      <c r="D56" s="5" t="s">
        <v>220</v>
      </c>
      <c r="E56" t="s">
        <v>216</v>
      </c>
      <c r="G56">
        <v>49</v>
      </c>
      <c r="H56" s="5" t="s">
        <v>215</v>
      </c>
      <c r="I56" t="s">
        <v>216</v>
      </c>
    </row>
    <row r="57" spans="1:15" x14ac:dyDescent="0.2">
      <c r="A57" s="13"/>
      <c r="B57" s="8" t="s">
        <v>221</v>
      </c>
      <c r="C57" t="e">
        <f t="shared" si="3"/>
        <v>#VALUE!</v>
      </c>
      <c r="D57" s="5" t="s">
        <v>221</v>
      </c>
      <c r="E57" t="s">
        <v>216</v>
      </c>
      <c r="G57">
        <v>27</v>
      </c>
      <c r="H57" s="5" t="s">
        <v>222</v>
      </c>
      <c r="I57" t="s">
        <v>148</v>
      </c>
    </row>
    <row r="58" spans="1:15" ht="16" thickBot="1" x14ac:dyDescent="0.25">
      <c r="A58" s="11"/>
      <c r="B58" s="12" t="s">
        <v>223</v>
      </c>
      <c r="C58" t="e">
        <f t="shared" si="3"/>
        <v>#VALUE!</v>
      </c>
      <c r="D58" s="5" t="s">
        <v>223</v>
      </c>
      <c r="E58" t="s">
        <v>216</v>
      </c>
      <c r="G58">
        <v>27</v>
      </c>
      <c r="H58" s="5" t="s">
        <v>224</v>
      </c>
      <c r="I58" t="s">
        <v>148</v>
      </c>
    </row>
    <row r="59" spans="1:15" x14ac:dyDescent="0.2">
      <c r="A59" s="8" t="s">
        <v>225</v>
      </c>
      <c r="B59" s="8" t="s">
        <v>217</v>
      </c>
      <c r="C59" t="e">
        <f t="shared" si="3"/>
        <v>#VALUE!</v>
      </c>
      <c r="D59" s="5" t="s">
        <v>217</v>
      </c>
      <c r="E59" t="s">
        <v>156</v>
      </c>
      <c r="G59">
        <v>27</v>
      </c>
      <c r="H59" s="5" t="s">
        <v>226</v>
      </c>
      <c r="I59" t="s">
        <v>148</v>
      </c>
    </row>
    <row r="60" spans="1:15" x14ac:dyDescent="0.2">
      <c r="A60" s="13" t="s">
        <v>227</v>
      </c>
      <c r="B60" s="8" t="s">
        <v>7</v>
      </c>
      <c r="C60" t="str">
        <f t="shared" si="3"/>
        <v>CRY SAC</v>
      </c>
      <c r="D60" s="5" t="s">
        <v>7</v>
      </c>
      <c r="E60" t="s">
        <v>156</v>
      </c>
      <c r="G60">
        <v>8</v>
      </c>
      <c r="H60" s="5" t="s">
        <v>228</v>
      </c>
      <c r="I60" t="s">
        <v>229</v>
      </c>
    </row>
    <row r="61" spans="1:15" ht="16" thickBot="1" x14ac:dyDescent="0.25">
      <c r="A61" s="11"/>
      <c r="B61" s="12" t="s">
        <v>230</v>
      </c>
      <c r="C61" t="e">
        <f t="shared" si="3"/>
        <v>#VALUE!</v>
      </c>
      <c r="D61" s="5" t="s">
        <v>231</v>
      </c>
      <c r="E61" t="s">
        <v>156</v>
      </c>
      <c r="G61">
        <v>8</v>
      </c>
      <c r="H61" s="5" t="s">
        <v>232</v>
      </c>
      <c r="I61" t="s">
        <v>229</v>
      </c>
    </row>
    <row r="62" spans="1:15" x14ac:dyDescent="0.2">
      <c r="A62" s="8" t="s">
        <v>233</v>
      </c>
      <c r="B62" s="8" t="s">
        <v>196</v>
      </c>
      <c r="C62" t="e">
        <f t="shared" si="3"/>
        <v>#VALUE!</v>
      </c>
      <c r="D62" s="5" t="s">
        <v>196</v>
      </c>
      <c r="E62" t="s">
        <v>148</v>
      </c>
      <c r="G62">
        <v>8</v>
      </c>
      <c r="H62" s="5" t="s">
        <v>234</v>
      </c>
      <c r="I62" t="s">
        <v>229</v>
      </c>
    </row>
    <row r="63" spans="1:15" x14ac:dyDescent="0.2">
      <c r="A63" s="13" t="s">
        <v>235</v>
      </c>
      <c r="B63" s="8" t="s">
        <v>233</v>
      </c>
      <c r="C63" t="str">
        <f t="shared" si="3"/>
        <v>CYC ARC</v>
      </c>
      <c r="D63" s="5" t="s">
        <v>222</v>
      </c>
      <c r="E63" t="s">
        <v>148</v>
      </c>
      <c r="G63">
        <v>25</v>
      </c>
      <c r="H63" s="5" t="s">
        <v>236</v>
      </c>
      <c r="I63" t="s">
        <v>154</v>
      </c>
    </row>
    <row r="64" spans="1:15" x14ac:dyDescent="0.2">
      <c r="A64" s="13"/>
      <c r="B64" s="8" t="s">
        <v>224</v>
      </c>
      <c r="C64" t="e">
        <f t="shared" si="3"/>
        <v>#VALUE!</v>
      </c>
      <c r="D64" s="5" t="s">
        <v>224</v>
      </c>
      <c r="E64" t="s">
        <v>148</v>
      </c>
      <c r="G64">
        <v>5</v>
      </c>
      <c r="H64" s="5" t="s">
        <v>237</v>
      </c>
      <c r="I64" t="s">
        <v>238</v>
      </c>
    </row>
    <row r="65" spans="1:9" x14ac:dyDescent="0.2">
      <c r="A65" s="13"/>
      <c r="B65" s="8" t="s">
        <v>226</v>
      </c>
      <c r="C65" t="e">
        <f t="shared" si="3"/>
        <v>#VALUE!</v>
      </c>
      <c r="D65" s="5" t="s">
        <v>226</v>
      </c>
      <c r="E65" t="s">
        <v>148</v>
      </c>
      <c r="G65">
        <v>51</v>
      </c>
      <c r="H65" s="5" t="s">
        <v>239</v>
      </c>
      <c r="I65" t="s">
        <v>240</v>
      </c>
    </row>
    <row r="66" spans="1:9" x14ac:dyDescent="0.2">
      <c r="A66" s="13"/>
      <c r="B66" s="8" t="s">
        <v>241</v>
      </c>
      <c r="C66" t="e">
        <f t="shared" si="3"/>
        <v>#VALUE!</v>
      </c>
      <c r="D66" s="5" t="s">
        <v>242</v>
      </c>
      <c r="E66" t="s">
        <v>148</v>
      </c>
      <c r="G66">
        <v>25</v>
      </c>
      <c r="H66" s="5" t="s">
        <v>243</v>
      </c>
      <c r="I66" t="s">
        <v>154</v>
      </c>
    </row>
    <row r="67" spans="1:9" x14ac:dyDescent="0.2">
      <c r="A67" s="13"/>
      <c r="B67" s="8" t="s">
        <v>244</v>
      </c>
      <c r="C67" t="e">
        <f t="shared" si="3"/>
        <v>#VALUE!</v>
      </c>
      <c r="D67" s="5" t="s">
        <v>244</v>
      </c>
      <c r="E67" t="s">
        <v>148</v>
      </c>
      <c r="G67">
        <v>5</v>
      </c>
      <c r="H67" s="5" t="s">
        <v>245</v>
      </c>
      <c r="I67" t="s">
        <v>238</v>
      </c>
    </row>
    <row r="68" spans="1:9" x14ac:dyDescent="0.2">
      <c r="A68" s="13"/>
      <c r="B68" s="8" t="s">
        <v>246</v>
      </c>
      <c r="C68" t="e">
        <f t="shared" si="3"/>
        <v>#VALUE!</v>
      </c>
      <c r="D68" s="5" t="s">
        <v>246</v>
      </c>
      <c r="E68" t="s">
        <v>148</v>
      </c>
      <c r="G68">
        <v>4</v>
      </c>
      <c r="H68" s="5" t="s">
        <v>247</v>
      </c>
      <c r="I68" t="s">
        <v>151</v>
      </c>
    </row>
    <row r="69" spans="1:9" x14ac:dyDescent="0.2">
      <c r="A69" s="13"/>
      <c r="B69" s="8" t="s">
        <v>248</v>
      </c>
      <c r="C69" t="e">
        <f t="shared" ref="C69:C132" si="4">(MID(A69,FIND("(",A69)+1,FIND(")",A69)-FIND("(",A69)-1))</f>
        <v>#VALUE!</v>
      </c>
      <c r="D69" s="5" t="s">
        <v>248</v>
      </c>
      <c r="E69" t="s">
        <v>148</v>
      </c>
      <c r="G69">
        <v>2</v>
      </c>
      <c r="H69" s="5" t="s">
        <v>249</v>
      </c>
      <c r="I69" t="s">
        <v>250</v>
      </c>
    </row>
    <row r="70" spans="1:9" x14ac:dyDescent="0.2">
      <c r="A70" s="13"/>
      <c r="B70" s="8" t="s">
        <v>251</v>
      </c>
      <c r="C70" t="e">
        <f t="shared" si="4"/>
        <v>#VALUE!</v>
      </c>
      <c r="D70" s="5" t="s">
        <v>251</v>
      </c>
      <c r="E70" t="s">
        <v>148</v>
      </c>
      <c r="G70">
        <v>5</v>
      </c>
      <c r="H70" s="5" t="s">
        <v>252</v>
      </c>
      <c r="I70" t="s">
        <v>238</v>
      </c>
    </row>
    <row r="71" spans="1:9" ht="16" thickBot="1" x14ac:dyDescent="0.25">
      <c r="A71" s="11"/>
      <c r="B71" s="12" t="s">
        <v>253</v>
      </c>
      <c r="C71" t="e">
        <f t="shared" si="4"/>
        <v>#VALUE!</v>
      </c>
      <c r="D71" s="5" t="s">
        <v>253</v>
      </c>
      <c r="E71" t="s">
        <v>148</v>
      </c>
      <c r="G71">
        <v>4</v>
      </c>
      <c r="H71" s="5" t="s">
        <v>254</v>
      </c>
      <c r="I71" t="s">
        <v>151</v>
      </c>
    </row>
    <row r="72" spans="1:9" x14ac:dyDescent="0.2">
      <c r="A72" s="8" t="s">
        <v>255</v>
      </c>
      <c r="B72" s="8" t="s">
        <v>228</v>
      </c>
      <c r="C72" t="e">
        <f t="shared" si="4"/>
        <v>#VALUE!</v>
      </c>
      <c r="D72" s="5" t="s">
        <v>228</v>
      </c>
      <c r="E72" t="s">
        <v>229</v>
      </c>
      <c r="G72">
        <v>27</v>
      </c>
      <c r="H72" s="5" t="s">
        <v>242</v>
      </c>
      <c r="I72" t="s">
        <v>148</v>
      </c>
    </row>
    <row r="73" spans="1:9" x14ac:dyDescent="0.2">
      <c r="A73" s="13" t="s">
        <v>256</v>
      </c>
      <c r="B73" s="8" t="s">
        <v>232</v>
      </c>
      <c r="C73" t="str">
        <f t="shared" si="4"/>
        <v>CYP AMP</v>
      </c>
      <c r="D73" s="5" t="s">
        <v>232</v>
      </c>
      <c r="E73" t="s">
        <v>229</v>
      </c>
      <c r="G73">
        <v>2</v>
      </c>
      <c r="H73" s="5" t="s">
        <v>257</v>
      </c>
      <c r="I73" t="s">
        <v>250</v>
      </c>
    </row>
    <row r="74" spans="1:9" ht="16" thickBot="1" x14ac:dyDescent="0.25">
      <c r="A74" s="11"/>
      <c r="B74" s="12" t="s">
        <v>258</v>
      </c>
      <c r="C74" t="e">
        <f t="shared" si="4"/>
        <v>#VALUE!</v>
      </c>
      <c r="D74" s="5" t="s">
        <v>234</v>
      </c>
      <c r="E74" t="s">
        <v>229</v>
      </c>
      <c r="G74">
        <v>4</v>
      </c>
      <c r="H74" s="5" t="s">
        <v>259</v>
      </c>
      <c r="I74" t="s">
        <v>151</v>
      </c>
    </row>
    <row r="75" spans="1:9" x14ac:dyDescent="0.2">
      <c r="A75" s="8" t="s">
        <v>260</v>
      </c>
      <c r="B75" s="8" t="s">
        <v>260</v>
      </c>
      <c r="C75" t="e">
        <f t="shared" si="4"/>
        <v>#VALUE!</v>
      </c>
      <c r="D75" s="5" t="s">
        <v>237</v>
      </c>
      <c r="E75" t="s">
        <v>238</v>
      </c>
      <c r="G75">
        <v>4</v>
      </c>
      <c r="H75" s="5" t="s">
        <v>18</v>
      </c>
      <c r="I75" t="s">
        <v>151</v>
      </c>
    </row>
    <row r="76" spans="1:9" x14ac:dyDescent="0.2">
      <c r="A76" s="13" t="s">
        <v>261</v>
      </c>
      <c r="B76" s="8" t="s">
        <v>262</v>
      </c>
      <c r="C76" t="str">
        <f t="shared" si="4"/>
        <v>DIF ACU</v>
      </c>
      <c r="D76" s="5" t="s">
        <v>245</v>
      </c>
      <c r="E76" t="s">
        <v>238</v>
      </c>
      <c r="G76">
        <v>12</v>
      </c>
      <c r="H76" s="5" t="s">
        <v>263</v>
      </c>
      <c r="I76" t="s">
        <v>264</v>
      </c>
    </row>
    <row r="77" spans="1:9" ht="16" thickBot="1" x14ac:dyDescent="0.25">
      <c r="A77" s="11"/>
      <c r="B77" s="12" t="s">
        <v>252</v>
      </c>
      <c r="C77" t="e">
        <f t="shared" si="4"/>
        <v>#VALUE!</v>
      </c>
      <c r="D77" s="5" t="s">
        <v>252</v>
      </c>
      <c r="E77" t="s">
        <v>238</v>
      </c>
      <c r="G77">
        <v>25</v>
      </c>
      <c r="H77" s="5" t="s">
        <v>265</v>
      </c>
      <c r="I77" t="s">
        <v>154</v>
      </c>
    </row>
    <row r="78" spans="1:9" x14ac:dyDescent="0.2">
      <c r="A78" s="8" t="s">
        <v>266</v>
      </c>
      <c r="B78" s="8" t="s">
        <v>257</v>
      </c>
      <c r="C78" t="e">
        <f t="shared" si="4"/>
        <v>#VALUE!</v>
      </c>
      <c r="D78" s="5" t="s">
        <v>257</v>
      </c>
      <c r="E78" t="s">
        <v>250</v>
      </c>
      <c r="G78">
        <v>25</v>
      </c>
      <c r="H78" s="5" t="s">
        <v>267</v>
      </c>
      <c r="I78" t="s">
        <v>154</v>
      </c>
    </row>
    <row r="79" spans="1:9" ht="16" thickBot="1" x14ac:dyDescent="0.25">
      <c r="A79" s="11" t="s">
        <v>268</v>
      </c>
      <c r="B79" s="12" t="s">
        <v>249</v>
      </c>
      <c r="C79" t="str">
        <f t="shared" si="4"/>
        <v>DIF GRA</v>
      </c>
      <c r="D79" s="5" t="s">
        <v>249</v>
      </c>
      <c r="E79" t="s">
        <v>250</v>
      </c>
      <c r="G79">
        <v>25</v>
      </c>
      <c r="H79" s="5" t="s">
        <v>269</v>
      </c>
      <c r="I79" t="s">
        <v>154</v>
      </c>
    </row>
    <row r="80" spans="1:9" x14ac:dyDescent="0.2">
      <c r="A80" s="8" t="s">
        <v>270</v>
      </c>
      <c r="B80" s="8" t="s">
        <v>239</v>
      </c>
      <c r="C80" t="e">
        <f t="shared" si="4"/>
        <v>#VALUE!</v>
      </c>
      <c r="D80" s="5" t="s">
        <v>239</v>
      </c>
      <c r="E80" t="s">
        <v>240</v>
      </c>
      <c r="G80">
        <v>27</v>
      </c>
      <c r="H80" s="5" t="s">
        <v>244</v>
      </c>
      <c r="I80" t="s">
        <v>148</v>
      </c>
    </row>
    <row r="81" spans="1:9" x14ac:dyDescent="0.2">
      <c r="A81" s="13" t="s">
        <v>271</v>
      </c>
      <c r="B81" s="8" t="s">
        <v>272</v>
      </c>
      <c r="C81" t="str">
        <f t="shared" si="4"/>
        <v>DIF LAB</v>
      </c>
      <c r="D81" s="5" t="s">
        <v>272</v>
      </c>
      <c r="E81" t="s">
        <v>240</v>
      </c>
      <c r="G81">
        <v>4</v>
      </c>
      <c r="H81" s="5" t="s">
        <v>273</v>
      </c>
      <c r="I81" t="s">
        <v>151</v>
      </c>
    </row>
    <row r="82" spans="1:9" ht="16" thickBot="1" x14ac:dyDescent="0.25">
      <c r="A82" s="11"/>
      <c r="B82" s="12" t="s">
        <v>274</v>
      </c>
      <c r="C82" t="e">
        <f t="shared" si="4"/>
        <v>#VALUE!</v>
      </c>
      <c r="D82" s="5" t="s">
        <v>274</v>
      </c>
      <c r="E82" t="s">
        <v>240</v>
      </c>
      <c r="G82">
        <v>51</v>
      </c>
      <c r="H82" s="5" t="s">
        <v>272</v>
      </c>
      <c r="I82" t="s">
        <v>240</v>
      </c>
    </row>
    <row r="83" spans="1:9" x14ac:dyDescent="0.2">
      <c r="A83" s="8" t="s">
        <v>275</v>
      </c>
      <c r="B83" s="8" t="s">
        <v>243</v>
      </c>
      <c r="C83" t="e">
        <f t="shared" si="4"/>
        <v>#VALUE!</v>
      </c>
      <c r="D83" s="5" t="s">
        <v>243</v>
      </c>
      <c r="E83" t="s">
        <v>154</v>
      </c>
      <c r="G83">
        <v>4</v>
      </c>
      <c r="H83" s="5" t="s">
        <v>276</v>
      </c>
      <c r="I83" t="s">
        <v>151</v>
      </c>
    </row>
    <row r="84" spans="1:9" x14ac:dyDescent="0.2">
      <c r="A84" s="13" t="s">
        <v>277</v>
      </c>
      <c r="B84" s="8" t="s">
        <v>236</v>
      </c>
      <c r="C84" t="str">
        <f t="shared" si="4"/>
        <v>DIF LUC</v>
      </c>
      <c r="D84" s="5" t="s">
        <v>236</v>
      </c>
      <c r="E84" t="s">
        <v>154</v>
      </c>
      <c r="G84">
        <v>4</v>
      </c>
      <c r="H84" s="5" t="s">
        <v>278</v>
      </c>
      <c r="I84" t="s">
        <v>151</v>
      </c>
    </row>
    <row r="85" spans="1:9" x14ac:dyDescent="0.2">
      <c r="A85" s="13"/>
      <c r="B85" s="8" t="s">
        <v>265</v>
      </c>
      <c r="C85" t="e">
        <f t="shared" si="4"/>
        <v>#VALUE!</v>
      </c>
      <c r="D85" s="5" t="s">
        <v>265</v>
      </c>
      <c r="E85" t="s">
        <v>154</v>
      </c>
      <c r="G85">
        <v>25</v>
      </c>
      <c r="H85" s="5" t="s">
        <v>279</v>
      </c>
      <c r="I85" t="s">
        <v>154</v>
      </c>
    </row>
    <row r="86" spans="1:9" x14ac:dyDescent="0.2">
      <c r="A86" s="13"/>
      <c r="B86" s="8" t="s">
        <v>275</v>
      </c>
      <c r="C86" t="e">
        <f t="shared" si="4"/>
        <v>#VALUE!</v>
      </c>
      <c r="D86" s="5" t="s">
        <v>267</v>
      </c>
      <c r="E86" t="s">
        <v>154</v>
      </c>
      <c r="G86">
        <v>25</v>
      </c>
      <c r="H86" s="5" t="s">
        <v>280</v>
      </c>
      <c r="I86" t="s">
        <v>154</v>
      </c>
    </row>
    <row r="87" spans="1:9" x14ac:dyDescent="0.2">
      <c r="A87" s="13"/>
      <c r="B87" s="8" t="s">
        <v>269</v>
      </c>
      <c r="C87" t="e">
        <f t="shared" si="4"/>
        <v>#VALUE!</v>
      </c>
      <c r="D87" s="5" t="s">
        <v>269</v>
      </c>
      <c r="E87" t="s">
        <v>154</v>
      </c>
      <c r="G87">
        <v>36</v>
      </c>
      <c r="H87" s="5" t="s">
        <v>7</v>
      </c>
      <c r="I87" t="s">
        <v>156</v>
      </c>
    </row>
    <row r="88" spans="1:9" x14ac:dyDescent="0.2">
      <c r="A88" s="13"/>
      <c r="B88" s="8" t="s">
        <v>279</v>
      </c>
      <c r="C88" t="e">
        <f t="shared" si="4"/>
        <v>#VALUE!</v>
      </c>
      <c r="D88" s="5" t="s">
        <v>279</v>
      </c>
      <c r="E88" t="s">
        <v>154</v>
      </c>
      <c r="G88">
        <v>4</v>
      </c>
      <c r="H88" s="5" t="s">
        <v>281</v>
      </c>
      <c r="I88" t="s">
        <v>151</v>
      </c>
    </row>
    <row r="89" spans="1:9" x14ac:dyDescent="0.2">
      <c r="A89" s="13"/>
      <c r="B89" s="8" t="s">
        <v>282</v>
      </c>
      <c r="C89" t="e">
        <f t="shared" si="4"/>
        <v>#VALUE!</v>
      </c>
      <c r="D89" s="5" t="s">
        <v>280</v>
      </c>
      <c r="E89" t="s">
        <v>154</v>
      </c>
      <c r="G89">
        <v>4</v>
      </c>
      <c r="H89" s="5" t="s">
        <v>159</v>
      </c>
      <c r="I89" t="s">
        <v>151</v>
      </c>
    </row>
    <row r="90" spans="1:9" x14ac:dyDescent="0.2">
      <c r="A90" s="13"/>
      <c r="B90" s="8" t="s">
        <v>283</v>
      </c>
      <c r="C90" t="e">
        <f t="shared" si="4"/>
        <v>#VALUE!</v>
      </c>
      <c r="D90" s="5" t="s">
        <v>283</v>
      </c>
      <c r="E90" t="s">
        <v>154</v>
      </c>
      <c r="H90" s="5" t="s">
        <v>284</v>
      </c>
      <c r="I90" t="s">
        <v>285</v>
      </c>
    </row>
    <row r="91" spans="1:9" x14ac:dyDescent="0.2">
      <c r="A91" s="13"/>
      <c r="B91" s="8" t="s">
        <v>36</v>
      </c>
      <c r="C91" t="e">
        <f t="shared" si="4"/>
        <v>#VALUE!</v>
      </c>
      <c r="D91" s="5" t="s">
        <v>36</v>
      </c>
      <c r="E91" t="s">
        <v>154</v>
      </c>
      <c r="G91">
        <v>25</v>
      </c>
      <c r="H91" s="5" t="s">
        <v>283</v>
      </c>
      <c r="I91" t="s">
        <v>154</v>
      </c>
    </row>
    <row r="92" spans="1:9" ht="16" thickBot="1" x14ac:dyDescent="0.25">
      <c r="A92" s="11"/>
      <c r="B92" s="12" t="s">
        <v>286</v>
      </c>
      <c r="C92" t="e">
        <f t="shared" si="4"/>
        <v>#VALUE!</v>
      </c>
      <c r="D92" s="5" t="s">
        <v>287</v>
      </c>
      <c r="E92" t="s">
        <v>154</v>
      </c>
      <c r="G92">
        <v>49</v>
      </c>
      <c r="H92" s="5" t="s">
        <v>220</v>
      </c>
      <c r="I92" t="s">
        <v>216</v>
      </c>
    </row>
    <row r="93" spans="1:9" x14ac:dyDescent="0.2">
      <c r="A93" s="8" t="s">
        <v>288</v>
      </c>
      <c r="B93" s="8" t="s">
        <v>289</v>
      </c>
      <c r="C93" t="e">
        <f t="shared" si="4"/>
        <v>#VALUE!</v>
      </c>
      <c r="D93" s="5" t="s">
        <v>247</v>
      </c>
      <c r="E93" t="s">
        <v>151</v>
      </c>
      <c r="G93">
        <v>49</v>
      </c>
      <c r="H93" s="5" t="s">
        <v>221</v>
      </c>
      <c r="I93" t="s">
        <v>216</v>
      </c>
    </row>
    <row r="94" spans="1:9" x14ac:dyDescent="0.2">
      <c r="A94" s="13" t="s">
        <v>290</v>
      </c>
      <c r="B94" s="8" t="s">
        <v>254</v>
      </c>
      <c r="C94" t="str">
        <f t="shared" si="4"/>
        <v>DIF OBL</v>
      </c>
      <c r="D94" s="5" t="s">
        <v>254</v>
      </c>
      <c r="E94" t="s">
        <v>151</v>
      </c>
      <c r="G94">
        <v>49</v>
      </c>
      <c r="H94" s="5" t="s">
        <v>223</v>
      </c>
      <c r="I94" t="s">
        <v>216</v>
      </c>
    </row>
    <row r="95" spans="1:9" x14ac:dyDescent="0.2">
      <c r="A95" s="13"/>
      <c r="B95" s="8" t="s">
        <v>259</v>
      </c>
      <c r="C95" t="e">
        <f t="shared" si="4"/>
        <v>#VALUE!</v>
      </c>
      <c r="D95" s="5" t="s">
        <v>259</v>
      </c>
      <c r="E95" t="s">
        <v>151</v>
      </c>
      <c r="G95">
        <v>33</v>
      </c>
      <c r="H95" s="5" t="s">
        <v>291</v>
      </c>
      <c r="I95" t="s">
        <v>292</v>
      </c>
    </row>
    <row r="96" spans="1:9" x14ac:dyDescent="0.2">
      <c r="A96" s="13"/>
      <c r="B96" s="8" t="s">
        <v>18</v>
      </c>
      <c r="C96" t="e">
        <f t="shared" si="4"/>
        <v>#VALUE!</v>
      </c>
      <c r="D96" s="5" t="s">
        <v>18</v>
      </c>
      <c r="E96" t="s">
        <v>151</v>
      </c>
      <c r="G96">
        <v>38</v>
      </c>
      <c r="H96" s="5" t="s">
        <v>293</v>
      </c>
      <c r="I96" t="s">
        <v>171</v>
      </c>
    </row>
    <row r="97" spans="1:9" x14ac:dyDescent="0.2">
      <c r="A97" s="13"/>
      <c r="B97" s="8" t="s">
        <v>288</v>
      </c>
      <c r="C97" t="e">
        <f t="shared" si="4"/>
        <v>#VALUE!</v>
      </c>
      <c r="D97" s="5" t="s">
        <v>294</v>
      </c>
      <c r="E97" t="s">
        <v>151</v>
      </c>
      <c r="G97">
        <v>38</v>
      </c>
      <c r="H97" s="5" t="s">
        <v>295</v>
      </c>
      <c r="I97" t="s">
        <v>171</v>
      </c>
    </row>
    <row r="98" spans="1:9" x14ac:dyDescent="0.2">
      <c r="A98" s="13"/>
      <c r="B98" s="8" t="s">
        <v>276</v>
      </c>
      <c r="C98" t="e">
        <f t="shared" si="4"/>
        <v>#VALUE!</v>
      </c>
      <c r="D98" s="5" t="s">
        <v>276</v>
      </c>
      <c r="E98" t="s">
        <v>151</v>
      </c>
      <c r="G98">
        <v>33</v>
      </c>
      <c r="H98" s="5" t="s">
        <v>296</v>
      </c>
      <c r="I98" t="s">
        <v>292</v>
      </c>
    </row>
    <row r="99" spans="1:9" x14ac:dyDescent="0.2">
      <c r="A99" s="13"/>
      <c r="B99" s="8" t="s">
        <v>278</v>
      </c>
      <c r="C99" t="e">
        <f t="shared" si="4"/>
        <v>#VALUE!</v>
      </c>
      <c r="D99" s="5" t="s">
        <v>278</v>
      </c>
      <c r="E99" t="s">
        <v>151</v>
      </c>
      <c r="G99">
        <v>33</v>
      </c>
      <c r="H99" s="5" t="s">
        <v>297</v>
      </c>
      <c r="I99" t="s">
        <v>292</v>
      </c>
    </row>
    <row r="100" spans="1:9" x14ac:dyDescent="0.2">
      <c r="A100" s="13"/>
      <c r="B100" s="8" t="s">
        <v>281</v>
      </c>
      <c r="C100" t="e">
        <f t="shared" si="4"/>
        <v>#VALUE!</v>
      </c>
      <c r="D100" s="5" t="s">
        <v>281</v>
      </c>
      <c r="E100" t="s">
        <v>151</v>
      </c>
      <c r="G100">
        <v>33</v>
      </c>
      <c r="H100" s="5" t="s">
        <v>298</v>
      </c>
      <c r="I100" t="s">
        <v>292</v>
      </c>
    </row>
    <row r="101" spans="1:9" ht="16" thickBot="1" x14ac:dyDescent="0.25">
      <c r="A101" s="11"/>
      <c r="B101" s="12" t="s">
        <v>159</v>
      </c>
      <c r="C101" t="e">
        <f t="shared" si="4"/>
        <v>#VALUE!</v>
      </c>
      <c r="D101" s="5" t="s">
        <v>159</v>
      </c>
      <c r="E101" t="s">
        <v>151</v>
      </c>
      <c r="G101">
        <v>33</v>
      </c>
      <c r="H101" s="5" t="s">
        <v>299</v>
      </c>
      <c r="I101" t="s">
        <v>292</v>
      </c>
    </row>
    <row r="102" spans="1:9" x14ac:dyDescent="0.2">
      <c r="A102" s="8" t="s">
        <v>300</v>
      </c>
      <c r="B102" s="8" t="s">
        <v>291</v>
      </c>
      <c r="C102" t="e">
        <f t="shared" si="4"/>
        <v>#VALUE!</v>
      </c>
      <c r="D102" s="5" t="s">
        <v>291</v>
      </c>
      <c r="E102" t="s">
        <v>292</v>
      </c>
      <c r="G102">
        <v>33</v>
      </c>
      <c r="H102" s="5" t="s">
        <v>301</v>
      </c>
      <c r="I102" t="s">
        <v>292</v>
      </c>
    </row>
    <row r="103" spans="1:9" x14ac:dyDescent="0.2">
      <c r="A103" s="13" t="s">
        <v>302</v>
      </c>
      <c r="B103" s="8" t="s">
        <v>296</v>
      </c>
      <c r="C103" t="str">
        <f t="shared" si="4"/>
        <v>EUG CIL</v>
      </c>
      <c r="D103" s="5" t="s">
        <v>296</v>
      </c>
      <c r="E103" t="s">
        <v>292</v>
      </c>
      <c r="G103">
        <v>38</v>
      </c>
      <c r="H103" s="5" t="s">
        <v>303</v>
      </c>
      <c r="I103" t="s">
        <v>171</v>
      </c>
    </row>
    <row r="104" spans="1:9" x14ac:dyDescent="0.2">
      <c r="A104" s="13"/>
      <c r="B104" s="8" t="s">
        <v>304</v>
      </c>
      <c r="C104" t="e">
        <f t="shared" si="4"/>
        <v>#VALUE!</v>
      </c>
      <c r="D104" s="5" t="s">
        <v>297</v>
      </c>
      <c r="E104" t="s">
        <v>292</v>
      </c>
      <c r="G104">
        <v>38</v>
      </c>
      <c r="H104" s="5" t="s">
        <v>305</v>
      </c>
      <c r="I104" t="s">
        <v>171</v>
      </c>
    </row>
    <row r="105" spans="1:9" x14ac:dyDescent="0.2">
      <c r="A105" s="13"/>
      <c r="B105" s="8" t="s">
        <v>298</v>
      </c>
      <c r="C105" t="e">
        <f t="shared" si="4"/>
        <v>#VALUE!</v>
      </c>
      <c r="D105" s="5" t="s">
        <v>298</v>
      </c>
      <c r="E105" t="s">
        <v>292</v>
      </c>
      <c r="G105">
        <v>33</v>
      </c>
      <c r="H105" s="5" t="s">
        <v>306</v>
      </c>
      <c r="I105" t="s">
        <v>292</v>
      </c>
    </row>
    <row r="106" spans="1:9" x14ac:dyDescent="0.2">
      <c r="A106" s="13"/>
      <c r="B106" s="8" t="s">
        <v>307</v>
      </c>
      <c r="C106" t="e">
        <f t="shared" si="4"/>
        <v>#VALUE!</v>
      </c>
      <c r="D106" s="5" t="s">
        <v>299</v>
      </c>
      <c r="E106" t="s">
        <v>292</v>
      </c>
      <c r="G106">
        <v>33</v>
      </c>
      <c r="H106" s="5" t="s">
        <v>308</v>
      </c>
      <c r="I106" t="s">
        <v>292</v>
      </c>
    </row>
    <row r="107" spans="1:9" x14ac:dyDescent="0.2">
      <c r="A107" s="13"/>
      <c r="B107" s="8" t="s">
        <v>301</v>
      </c>
      <c r="C107" t="e">
        <f t="shared" si="4"/>
        <v>#VALUE!</v>
      </c>
      <c r="D107" s="5" t="s">
        <v>301</v>
      </c>
      <c r="E107" t="s">
        <v>292</v>
      </c>
      <c r="G107">
        <v>38</v>
      </c>
      <c r="H107" s="5" t="s">
        <v>309</v>
      </c>
      <c r="I107" t="s">
        <v>171</v>
      </c>
    </row>
    <row r="108" spans="1:9" x14ac:dyDescent="0.2">
      <c r="A108" s="13"/>
      <c r="B108" s="8" t="s">
        <v>306</v>
      </c>
      <c r="C108" t="e">
        <f t="shared" si="4"/>
        <v>#VALUE!</v>
      </c>
      <c r="D108" s="5" t="s">
        <v>306</v>
      </c>
      <c r="E108" t="s">
        <v>292</v>
      </c>
      <c r="G108">
        <v>38</v>
      </c>
      <c r="H108" s="5" t="s">
        <v>310</v>
      </c>
      <c r="I108" t="s">
        <v>171</v>
      </c>
    </row>
    <row r="109" spans="1:9" x14ac:dyDescent="0.2">
      <c r="A109" s="13"/>
      <c r="B109" s="8" t="s">
        <v>308</v>
      </c>
      <c r="C109" t="e">
        <f t="shared" si="4"/>
        <v>#VALUE!</v>
      </c>
      <c r="D109" s="5" t="s">
        <v>308</v>
      </c>
      <c r="E109" t="s">
        <v>292</v>
      </c>
      <c r="G109">
        <v>38</v>
      </c>
      <c r="H109" s="5" t="s">
        <v>311</v>
      </c>
      <c r="I109" t="s">
        <v>171</v>
      </c>
    </row>
    <row r="110" spans="1:9" x14ac:dyDescent="0.2">
      <c r="A110" s="13"/>
      <c r="B110" s="8" t="s">
        <v>312</v>
      </c>
      <c r="C110" t="e">
        <f t="shared" si="4"/>
        <v>#VALUE!</v>
      </c>
      <c r="D110" s="5" t="s">
        <v>312</v>
      </c>
      <c r="E110" t="s">
        <v>292</v>
      </c>
      <c r="G110">
        <v>33</v>
      </c>
      <c r="H110" s="5" t="s">
        <v>312</v>
      </c>
      <c r="I110" t="s">
        <v>292</v>
      </c>
    </row>
    <row r="111" spans="1:9" x14ac:dyDescent="0.2">
      <c r="A111" s="13"/>
      <c r="B111" s="8" t="s">
        <v>313</v>
      </c>
      <c r="C111" t="e">
        <f t="shared" si="4"/>
        <v>#VALUE!</v>
      </c>
      <c r="D111" s="5" t="s">
        <v>314</v>
      </c>
      <c r="E111" t="s">
        <v>292</v>
      </c>
      <c r="G111">
        <v>38</v>
      </c>
      <c r="H111" s="5" t="s">
        <v>315</v>
      </c>
      <c r="I111" t="s">
        <v>171</v>
      </c>
    </row>
    <row r="112" spans="1:9" ht="16" thickBot="1" x14ac:dyDescent="0.25">
      <c r="A112" s="11"/>
      <c r="B112" s="12" t="s">
        <v>316</v>
      </c>
      <c r="C112" t="e">
        <f t="shared" si="4"/>
        <v>#VALUE!</v>
      </c>
      <c r="D112" s="5" t="s">
        <v>317</v>
      </c>
      <c r="E112" t="s">
        <v>292</v>
      </c>
      <c r="G112">
        <v>33</v>
      </c>
      <c r="H112" s="5" t="s">
        <v>314</v>
      </c>
      <c r="I112" t="s">
        <v>292</v>
      </c>
    </row>
    <row r="113" spans="1:9" x14ac:dyDescent="0.2">
      <c r="A113" s="8" t="s">
        <v>318</v>
      </c>
      <c r="B113" s="8" t="s">
        <v>293</v>
      </c>
      <c r="C113" t="e">
        <f t="shared" si="4"/>
        <v>#VALUE!</v>
      </c>
      <c r="D113" s="5" t="s">
        <v>293</v>
      </c>
      <c r="E113" t="s">
        <v>171</v>
      </c>
      <c r="G113">
        <v>33</v>
      </c>
      <c r="H113" s="5" t="s">
        <v>317</v>
      </c>
      <c r="I113" t="s">
        <v>292</v>
      </c>
    </row>
    <row r="114" spans="1:9" x14ac:dyDescent="0.2">
      <c r="A114" s="13" t="s">
        <v>319</v>
      </c>
      <c r="B114" s="8" t="s">
        <v>295</v>
      </c>
      <c r="C114" t="str">
        <f t="shared" si="4"/>
        <v>EUG ROT</v>
      </c>
      <c r="D114" s="5" t="s">
        <v>295</v>
      </c>
      <c r="E114" t="s">
        <v>171</v>
      </c>
      <c r="G114">
        <v>7</v>
      </c>
      <c r="H114" s="5" t="s">
        <v>320</v>
      </c>
      <c r="I114" t="s">
        <v>321</v>
      </c>
    </row>
    <row r="115" spans="1:9" x14ac:dyDescent="0.2">
      <c r="A115" s="13"/>
      <c r="B115" s="8" t="s">
        <v>303</v>
      </c>
      <c r="C115" t="e">
        <f t="shared" si="4"/>
        <v>#VALUE!</v>
      </c>
      <c r="D115" s="5" t="s">
        <v>303</v>
      </c>
      <c r="E115" t="s">
        <v>171</v>
      </c>
      <c r="G115">
        <v>17</v>
      </c>
      <c r="H115" s="5" t="s">
        <v>322</v>
      </c>
      <c r="I115" t="s">
        <v>323</v>
      </c>
    </row>
    <row r="116" spans="1:9" x14ac:dyDescent="0.2">
      <c r="A116" s="13"/>
      <c r="B116" s="8" t="s">
        <v>305</v>
      </c>
      <c r="C116" t="e">
        <f t="shared" si="4"/>
        <v>#VALUE!</v>
      </c>
      <c r="D116" s="5" t="s">
        <v>305</v>
      </c>
      <c r="E116" t="s">
        <v>171</v>
      </c>
      <c r="G116">
        <v>7</v>
      </c>
      <c r="H116" s="5" t="s">
        <v>324</v>
      </c>
      <c r="I116" t="s">
        <v>321</v>
      </c>
    </row>
    <row r="117" spans="1:9" x14ac:dyDescent="0.2">
      <c r="A117" s="13"/>
      <c r="B117" s="8" t="s">
        <v>309</v>
      </c>
      <c r="C117" t="e">
        <f t="shared" si="4"/>
        <v>#VALUE!</v>
      </c>
      <c r="D117" s="5" t="s">
        <v>309</v>
      </c>
      <c r="E117" t="s">
        <v>171</v>
      </c>
      <c r="G117">
        <v>17</v>
      </c>
      <c r="H117" s="5" t="s">
        <v>325</v>
      </c>
      <c r="I117" t="s">
        <v>323</v>
      </c>
    </row>
    <row r="118" spans="1:9" x14ac:dyDescent="0.2">
      <c r="A118" s="13"/>
      <c r="B118" s="8" t="s">
        <v>310</v>
      </c>
      <c r="C118" t="e">
        <f t="shared" si="4"/>
        <v>#VALUE!</v>
      </c>
      <c r="D118" s="5" t="s">
        <v>310</v>
      </c>
      <c r="E118" t="s">
        <v>171</v>
      </c>
      <c r="G118">
        <v>17</v>
      </c>
      <c r="H118" s="5" t="s">
        <v>326</v>
      </c>
      <c r="I118" t="s">
        <v>323</v>
      </c>
    </row>
    <row r="119" spans="1:9" x14ac:dyDescent="0.2">
      <c r="A119" s="13"/>
      <c r="B119" s="8" t="s">
        <v>318</v>
      </c>
      <c r="C119" t="e">
        <f t="shared" si="4"/>
        <v>#VALUE!</v>
      </c>
      <c r="D119" s="5" t="s">
        <v>311</v>
      </c>
      <c r="E119" t="s">
        <v>171</v>
      </c>
      <c r="G119">
        <v>30</v>
      </c>
      <c r="H119" s="5" t="s">
        <v>327</v>
      </c>
      <c r="I119" t="s">
        <v>129</v>
      </c>
    </row>
    <row r="120" spans="1:9" ht="16" thickBot="1" x14ac:dyDescent="0.25">
      <c r="A120" s="11"/>
      <c r="B120" s="12" t="s">
        <v>315</v>
      </c>
      <c r="C120" t="e">
        <f t="shared" si="4"/>
        <v>#VALUE!</v>
      </c>
      <c r="D120" s="5" t="s">
        <v>315</v>
      </c>
      <c r="E120" t="s">
        <v>171</v>
      </c>
      <c r="G120">
        <v>30</v>
      </c>
      <c r="H120" s="5" t="s">
        <v>328</v>
      </c>
      <c r="I120" t="s">
        <v>129</v>
      </c>
    </row>
    <row r="121" spans="1:9" x14ac:dyDescent="0.2">
      <c r="A121" s="8" t="s">
        <v>329</v>
      </c>
      <c r="B121" s="8" t="s">
        <v>165</v>
      </c>
      <c r="C121" t="e">
        <f t="shared" si="4"/>
        <v>#VALUE!</v>
      </c>
      <c r="D121" s="5" t="s">
        <v>165</v>
      </c>
      <c r="E121" t="s">
        <v>129</v>
      </c>
      <c r="G121">
        <v>30</v>
      </c>
      <c r="H121" s="5" t="s">
        <v>330</v>
      </c>
      <c r="I121" t="s">
        <v>129</v>
      </c>
    </row>
    <row r="122" spans="1:9" x14ac:dyDescent="0.2">
      <c r="A122" s="13" t="s">
        <v>331</v>
      </c>
      <c r="B122" s="8" t="s">
        <v>327</v>
      </c>
      <c r="C122" t="str">
        <f t="shared" si="4"/>
        <v>HEL PET</v>
      </c>
      <c r="D122" s="5" t="s">
        <v>327</v>
      </c>
      <c r="E122" t="s">
        <v>129</v>
      </c>
      <c r="G122">
        <v>39</v>
      </c>
      <c r="H122" s="5" t="s">
        <v>332</v>
      </c>
      <c r="I122" t="s">
        <v>333</v>
      </c>
    </row>
    <row r="123" spans="1:9" x14ac:dyDescent="0.2">
      <c r="A123" s="13"/>
      <c r="B123" s="8" t="s">
        <v>26</v>
      </c>
      <c r="C123" t="e">
        <f t="shared" si="4"/>
        <v>#VALUE!</v>
      </c>
      <c r="D123" s="5" t="s">
        <v>26</v>
      </c>
      <c r="E123" t="s">
        <v>129</v>
      </c>
      <c r="G123">
        <v>30</v>
      </c>
      <c r="H123" s="5" t="s">
        <v>26</v>
      </c>
      <c r="I123" t="s">
        <v>129</v>
      </c>
    </row>
    <row r="124" spans="1:9" x14ac:dyDescent="0.2">
      <c r="A124" s="13"/>
      <c r="B124" s="8" t="s">
        <v>334</v>
      </c>
      <c r="C124" t="e">
        <f t="shared" si="4"/>
        <v>#VALUE!</v>
      </c>
      <c r="D124" s="5" t="s">
        <v>328</v>
      </c>
      <c r="E124" t="s">
        <v>129</v>
      </c>
      <c r="G124">
        <v>37</v>
      </c>
      <c r="H124" s="5" t="s">
        <v>335</v>
      </c>
      <c r="I124" t="s">
        <v>131</v>
      </c>
    </row>
    <row r="125" spans="1:9" ht="16" thickBot="1" x14ac:dyDescent="0.25">
      <c r="A125" s="11"/>
      <c r="B125" s="12" t="s">
        <v>330</v>
      </c>
      <c r="C125" t="e">
        <f t="shared" si="4"/>
        <v>#VALUE!</v>
      </c>
      <c r="D125" s="5" t="s">
        <v>330</v>
      </c>
      <c r="E125" t="s">
        <v>129</v>
      </c>
      <c r="G125">
        <v>26</v>
      </c>
      <c r="H125" s="5" t="s">
        <v>336</v>
      </c>
      <c r="I125" t="s">
        <v>144</v>
      </c>
    </row>
    <row r="126" spans="1:9" x14ac:dyDescent="0.2">
      <c r="A126" s="8" t="s">
        <v>337</v>
      </c>
      <c r="B126" s="8" t="s">
        <v>338</v>
      </c>
      <c r="C126" t="e">
        <f t="shared" si="4"/>
        <v>#VALUE!</v>
      </c>
      <c r="D126" s="5" t="s">
        <v>339</v>
      </c>
      <c r="E126" t="s">
        <v>340</v>
      </c>
      <c r="G126">
        <v>36</v>
      </c>
      <c r="H126" s="5" t="s">
        <v>231</v>
      </c>
      <c r="I126" t="s">
        <v>156</v>
      </c>
    </row>
    <row r="127" spans="1:9" ht="16" thickBot="1" x14ac:dyDescent="0.25">
      <c r="A127" s="11" t="s">
        <v>341</v>
      </c>
      <c r="B127" s="12" t="s">
        <v>342</v>
      </c>
      <c r="C127" t="str">
        <f t="shared" si="4"/>
        <v>LES SPI</v>
      </c>
      <c r="D127" s="5" t="s">
        <v>343</v>
      </c>
      <c r="E127" t="s">
        <v>340</v>
      </c>
      <c r="G127">
        <v>29</v>
      </c>
      <c r="H127" s="5" t="s">
        <v>29</v>
      </c>
      <c r="I127" t="s">
        <v>137</v>
      </c>
    </row>
    <row r="128" spans="1:9" x14ac:dyDescent="0.2">
      <c r="A128" s="8" t="s">
        <v>344</v>
      </c>
      <c r="B128" s="8" t="s">
        <v>345</v>
      </c>
      <c r="C128" t="str">
        <f t="shared" si="4"/>
        <v>Nebela</v>
      </c>
      <c r="D128" s="5" t="s">
        <v>345</v>
      </c>
      <c r="E128" t="s">
        <v>321</v>
      </c>
      <c r="G128">
        <v>42</v>
      </c>
      <c r="H128" s="5" t="s">
        <v>346</v>
      </c>
      <c r="I128" t="s">
        <v>140</v>
      </c>
    </row>
    <row r="129" spans="1:9" x14ac:dyDescent="0.2">
      <c r="A129" s="13" t="s">
        <v>347</v>
      </c>
      <c r="B129" s="8" t="s">
        <v>320</v>
      </c>
      <c r="C129" t="str">
        <f t="shared" si="4"/>
        <v>PLA CAR</v>
      </c>
      <c r="D129" s="5" t="s">
        <v>320</v>
      </c>
      <c r="E129" t="s">
        <v>321</v>
      </c>
      <c r="G129">
        <v>31</v>
      </c>
      <c r="H129" s="5" t="s">
        <v>31</v>
      </c>
      <c r="I129" t="s">
        <v>134</v>
      </c>
    </row>
    <row r="130" spans="1:9" x14ac:dyDescent="0.2">
      <c r="A130" s="13"/>
      <c r="B130" s="8" t="s">
        <v>324</v>
      </c>
      <c r="C130" t="e">
        <f t="shared" si="4"/>
        <v>#VALUE!</v>
      </c>
      <c r="D130" s="5" t="s">
        <v>324</v>
      </c>
      <c r="E130" t="s">
        <v>321</v>
      </c>
      <c r="H130" s="5" t="s">
        <v>348</v>
      </c>
      <c r="I130" t="s">
        <v>349</v>
      </c>
    </row>
    <row r="131" spans="1:9" ht="16" thickBot="1" x14ac:dyDescent="0.25">
      <c r="A131" s="11"/>
      <c r="B131" s="12" t="s">
        <v>350</v>
      </c>
      <c r="C131" t="e">
        <f t="shared" si="4"/>
        <v>#VALUE!</v>
      </c>
      <c r="D131" s="5" t="s">
        <v>350</v>
      </c>
      <c r="E131" t="s">
        <v>321</v>
      </c>
      <c r="H131" s="5" t="s">
        <v>351</v>
      </c>
      <c r="I131" t="s">
        <v>352</v>
      </c>
    </row>
    <row r="132" spans="1:9" x14ac:dyDescent="0.2">
      <c r="A132" s="8" t="s">
        <v>353</v>
      </c>
      <c r="B132" s="8" t="s">
        <v>353</v>
      </c>
      <c r="C132" t="e">
        <f t="shared" si="4"/>
        <v>#VALUE!</v>
      </c>
      <c r="D132" s="5" t="s">
        <v>354</v>
      </c>
      <c r="E132" t="s">
        <v>137</v>
      </c>
      <c r="G132">
        <v>6</v>
      </c>
      <c r="H132" s="5" t="s">
        <v>339</v>
      </c>
      <c r="I132" t="s">
        <v>340</v>
      </c>
    </row>
    <row r="133" spans="1:9" x14ac:dyDescent="0.2">
      <c r="A133" s="13" t="s">
        <v>355</v>
      </c>
      <c r="B133" s="8" t="s">
        <v>356</v>
      </c>
      <c r="C133" t="str">
        <f t="shared" ref="C133:C184" si="5">(MID(A133,FIND("(",A133)+1,FIND(")",A133)-FIND("(",A133)-1))</f>
        <v>NEB COL</v>
      </c>
      <c r="D133" s="5" t="s">
        <v>357</v>
      </c>
      <c r="E133" t="s">
        <v>137</v>
      </c>
      <c r="G133">
        <v>6</v>
      </c>
      <c r="H133" s="5" t="s">
        <v>343</v>
      </c>
      <c r="I133" t="s">
        <v>340</v>
      </c>
    </row>
    <row r="134" spans="1:9" ht="16" thickBot="1" x14ac:dyDescent="0.25">
      <c r="A134" s="11"/>
      <c r="B134" s="12" t="s">
        <v>29</v>
      </c>
      <c r="C134" t="e">
        <f t="shared" si="5"/>
        <v>#VALUE!</v>
      </c>
      <c r="D134" s="5" t="s">
        <v>29</v>
      </c>
      <c r="E134" t="s">
        <v>137</v>
      </c>
      <c r="G134">
        <v>46</v>
      </c>
      <c r="H134" s="5" t="s">
        <v>358</v>
      </c>
      <c r="I134" t="s">
        <v>113</v>
      </c>
    </row>
    <row r="135" spans="1:9" x14ac:dyDescent="0.2">
      <c r="A135" s="8" t="s">
        <v>359</v>
      </c>
      <c r="B135" s="8" t="s">
        <v>359</v>
      </c>
      <c r="C135" t="str">
        <f t="shared" si="5"/>
        <v>Nebela</v>
      </c>
      <c r="D135" s="5" t="s">
        <v>325</v>
      </c>
      <c r="E135" t="s">
        <v>323</v>
      </c>
      <c r="G135">
        <v>1</v>
      </c>
      <c r="H135" s="5" t="s">
        <v>360</v>
      </c>
      <c r="I135" t="s">
        <v>361</v>
      </c>
    </row>
    <row r="136" spans="1:9" x14ac:dyDescent="0.2">
      <c r="A136" s="13" t="s">
        <v>362</v>
      </c>
      <c r="B136" s="8" t="s">
        <v>322</v>
      </c>
      <c r="C136" t="str">
        <f t="shared" si="5"/>
        <v>GIB PEN</v>
      </c>
      <c r="D136" s="5" t="s">
        <v>322</v>
      </c>
      <c r="E136" t="s">
        <v>323</v>
      </c>
      <c r="G136">
        <v>44</v>
      </c>
      <c r="H136" s="5" t="s">
        <v>363</v>
      </c>
      <c r="I136" t="s">
        <v>364</v>
      </c>
    </row>
    <row r="137" spans="1:9" ht="16" thickBot="1" x14ac:dyDescent="0.25">
      <c r="A137" s="11"/>
      <c r="B137" s="12" t="s">
        <v>365</v>
      </c>
      <c r="C137" t="e">
        <f t="shared" si="5"/>
        <v>#VALUE!</v>
      </c>
      <c r="D137" s="5" t="s">
        <v>326</v>
      </c>
      <c r="E137" t="s">
        <v>323</v>
      </c>
      <c r="G137">
        <v>29</v>
      </c>
      <c r="H137" s="5" t="s">
        <v>354</v>
      </c>
      <c r="I137" t="s">
        <v>137</v>
      </c>
    </row>
    <row r="138" spans="1:9" x14ac:dyDescent="0.2">
      <c r="A138" s="8" t="s">
        <v>366</v>
      </c>
      <c r="B138" s="8" t="s">
        <v>34</v>
      </c>
      <c r="C138" t="e">
        <f t="shared" si="5"/>
        <v>#VALUE!</v>
      </c>
      <c r="D138" s="5" t="s">
        <v>34</v>
      </c>
      <c r="E138" t="s">
        <v>364</v>
      </c>
      <c r="G138">
        <v>21</v>
      </c>
      <c r="H138" s="5" t="s">
        <v>142</v>
      </c>
      <c r="I138" t="s">
        <v>143</v>
      </c>
    </row>
    <row r="139" spans="1:9" x14ac:dyDescent="0.2">
      <c r="A139" s="13" t="s">
        <v>367</v>
      </c>
      <c r="B139" s="8" t="s">
        <v>368</v>
      </c>
      <c r="C139" t="str">
        <f t="shared" si="5"/>
        <v>NEB TIN</v>
      </c>
      <c r="D139" s="5" t="s">
        <v>368</v>
      </c>
      <c r="E139" t="s">
        <v>364</v>
      </c>
      <c r="G139">
        <v>43</v>
      </c>
      <c r="H139" s="5" t="s">
        <v>161</v>
      </c>
      <c r="I139" t="s">
        <v>162</v>
      </c>
    </row>
    <row r="140" spans="1:9" ht="16" thickBot="1" x14ac:dyDescent="0.25">
      <c r="A140" s="11"/>
      <c r="B140" s="12" t="s">
        <v>369</v>
      </c>
      <c r="C140" t="e">
        <f t="shared" si="5"/>
        <v>#VALUE!</v>
      </c>
      <c r="D140" s="5" t="s">
        <v>363</v>
      </c>
      <c r="E140" t="s">
        <v>364</v>
      </c>
      <c r="G140">
        <v>19</v>
      </c>
      <c r="H140" s="5" t="s">
        <v>370</v>
      </c>
      <c r="I140" t="s">
        <v>371</v>
      </c>
    </row>
    <row r="141" spans="1:9" x14ac:dyDescent="0.2">
      <c r="A141" s="8" t="s">
        <v>372</v>
      </c>
      <c r="B141" s="8" t="s">
        <v>373</v>
      </c>
      <c r="C141" t="e">
        <f t="shared" si="5"/>
        <v>#VALUE!</v>
      </c>
      <c r="D141" s="5" t="s">
        <v>373</v>
      </c>
      <c r="E141" t="s">
        <v>184</v>
      </c>
      <c r="G141">
        <v>32</v>
      </c>
      <c r="H141" s="5" t="s">
        <v>373</v>
      </c>
      <c r="I141" t="s">
        <v>184</v>
      </c>
    </row>
    <row r="142" spans="1:9" x14ac:dyDescent="0.2">
      <c r="A142" s="13" t="s">
        <v>374</v>
      </c>
      <c r="B142" s="8" t="s">
        <v>375</v>
      </c>
      <c r="C142" t="str">
        <f t="shared" si="5"/>
        <v>PAD LAG</v>
      </c>
      <c r="D142" s="5" t="s">
        <v>376</v>
      </c>
      <c r="E142" t="s">
        <v>184</v>
      </c>
      <c r="G142">
        <v>34</v>
      </c>
      <c r="H142" s="5" t="s">
        <v>377</v>
      </c>
      <c r="I142" t="s">
        <v>378</v>
      </c>
    </row>
    <row r="143" spans="1:9" ht="16" thickBot="1" x14ac:dyDescent="0.25">
      <c r="A143" s="11"/>
      <c r="B143" s="12" t="s">
        <v>183</v>
      </c>
      <c r="C143" t="e">
        <f t="shared" si="5"/>
        <v>#VALUE!</v>
      </c>
      <c r="D143" s="5" t="s">
        <v>183</v>
      </c>
      <c r="E143" t="s">
        <v>184</v>
      </c>
      <c r="G143">
        <v>44</v>
      </c>
      <c r="H143" s="5" t="s">
        <v>368</v>
      </c>
      <c r="I143" t="s">
        <v>364</v>
      </c>
    </row>
    <row r="144" spans="1:9" x14ac:dyDescent="0.2">
      <c r="A144" s="8" t="s">
        <v>379</v>
      </c>
      <c r="B144" s="8" t="s">
        <v>380</v>
      </c>
      <c r="C144" t="e">
        <f t="shared" si="5"/>
        <v>#VALUE!</v>
      </c>
      <c r="D144" s="5" t="s">
        <v>370</v>
      </c>
      <c r="E144" t="s">
        <v>371</v>
      </c>
      <c r="G144">
        <v>19</v>
      </c>
      <c r="H144" s="5" t="s">
        <v>381</v>
      </c>
      <c r="I144" t="s">
        <v>371</v>
      </c>
    </row>
    <row r="145" spans="1:9" ht="16" thickBot="1" x14ac:dyDescent="0.25">
      <c r="A145" s="11" t="s">
        <v>382</v>
      </c>
      <c r="B145" s="12" t="s">
        <v>381</v>
      </c>
      <c r="C145" t="str">
        <f t="shared" si="5"/>
        <v>PHY GRI</v>
      </c>
      <c r="D145" s="5" t="s">
        <v>381</v>
      </c>
      <c r="E145" t="s">
        <v>371</v>
      </c>
      <c r="G145">
        <v>44</v>
      </c>
      <c r="H145" s="5" t="s">
        <v>34</v>
      </c>
      <c r="I145" t="s">
        <v>364</v>
      </c>
    </row>
    <row r="146" spans="1:9" x14ac:dyDescent="0.2">
      <c r="A146" s="8" t="s">
        <v>383</v>
      </c>
      <c r="B146" s="8" t="s">
        <v>383</v>
      </c>
      <c r="C146" t="e">
        <f t="shared" si="5"/>
        <v>#VALUE!</v>
      </c>
      <c r="D146" s="5" t="s">
        <v>384</v>
      </c>
      <c r="E146" t="s">
        <v>385</v>
      </c>
      <c r="G146">
        <v>29</v>
      </c>
      <c r="H146" s="5" t="s">
        <v>357</v>
      </c>
      <c r="I146" t="s">
        <v>137</v>
      </c>
    </row>
    <row r="147" spans="1:9" x14ac:dyDescent="0.2">
      <c r="A147" s="13" t="s">
        <v>386</v>
      </c>
      <c r="B147" s="8" t="s">
        <v>387</v>
      </c>
      <c r="C147" t="str">
        <f t="shared" si="5"/>
        <v>PLA SPI</v>
      </c>
      <c r="D147" s="5" t="s">
        <v>387</v>
      </c>
      <c r="E147" t="s">
        <v>385</v>
      </c>
      <c r="G147">
        <v>32</v>
      </c>
      <c r="H147" s="5" t="s">
        <v>183</v>
      </c>
      <c r="I147" t="s">
        <v>184</v>
      </c>
    </row>
    <row r="148" spans="1:9" x14ac:dyDescent="0.2">
      <c r="A148" s="13"/>
      <c r="B148" s="8" t="s">
        <v>388</v>
      </c>
      <c r="C148" t="e">
        <f t="shared" si="5"/>
        <v>#VALUE!</v>
      </c>
      <c r="D148" s="5" t="s">
        <v>388</v>
      </c>
      <c r="E148" t="s">
        <v>385</v>
      </c>
      <c r="H148" s="5" t="s">
        <v>147</v>
      </c>
      <c r="I148" t="s">
        <v>143</v>
      </c>
    </row>
    <row r="149" spans="1:9" x14ac:dyDescent="0.2">
      <c r="A149" s="13"/>
      <c r="B149" s="8" t="s">
        <v>389</v>
      </c>
      <c r="C149" t="e">
        <f t="shared" si="5"/>
        <v>#VALUE!</v>
      </c>
      <c r="D149" s="5" t="s">
        <v>389</v>
      </c>
      <c r="E149" t="s">
        <v>385</v>
      </c>
      <c r="G149">
        <v>32</v>
      </c>
      <c r="H149" s="5" t="s">
        <v>376</v>
      </c>
      <c r="I149" t="s">
        <v>184</v>
      </c>
    </row>
    <row r="150" spans="1:9" ht="16" thickBot="1" x14ac:dyDescent="0.25">
      <c r="A150" s="11"/>
      <c r="B150" s="12" t="s">
        <v>390</v>
      </c>
      <c r="C150" t="e">
        <f t="shared" si="5"/>
        <v>#VALUE!</v>
      </c>
      <c r="D150" s="5" t="s">
        <v>391</v>
      </c>
      <c r="E150" t="s">
        <v>385</v>
      </c>
      <c r="G150">
        <v>51</v>
      </c>
      <c r="H150" s="5" t="s">
        <v>274</v>
      </c>
      <c r="I150" t="s">
        <v>240</v>
      </c>
    </row>
    <row r="151" spans="1:9" x14ac:dyDescent="0.2">
      <c r="A151" s="8" t="s">
        <v>392</v>
      </c>
      <c r="B151" s="8" t="s">
        <v>393</v>
      </c>
      <c r="C151" t="e">
        <f t="shared" si="5"/>
        <v>#VALUE!</v>
      </c>
      <c r="D151" s="5" t="s">
        <v>393</v>
      </c>
      <c r="E151" t="s">
        <v>394</v>
      </c>
      <c r="G151">
        <v>3</v>
      </c>
      <c r="H151" s="5" t="s">
        <v>395</v>
      </c>
      <c r="I151" t="s">
        <v>396</v>
      </c>
    </row>
    <row r="152" spans="1:9" ht="16" thickBot="1" x14ac:dyDescent="0.25">
      <c r="A152" s="11" t="s">
        <v>397</v>
      </c>
      <c r="B152" s="12" t="s">
        <v>398</v>
      </c>
      <c r="C152" t="str">
        <f t="shared" si="5"/>
        <v>PLAGIO</v>
      </c>
      <c r="D152" s="5" t="s">
        <v>398</v>
      </c>
      <c r="E152" t="s">
        <v>394</v>
      </c>
      <c r="G152">
        <v>27</v>
      </c>
      <c r="H152" s="5" t="s">
        <v>246</v>
      </c>
      <c r="I152" t="s">
        <v>148</v>
      </c>
    </row>
    <row r="153" spans="1:9" x14ac:dyDescent="0.2">
      <c r="A153" s="8" t="s">
        <v>399</v>
      </c>
      <c r="B153" s="8" t="s">
        <v>400</v>
      </c>
      <c r="C153" t="e">
        <f t="shared" si="5"/>
        <v>#VALUE!</v>
      </c>
      <c r="D153" s="5" t="s">
        <v>400</v>
      </c>
      <c r="E153" t="s">
        <v>401</v>
      </c>
      <c r="G153">
        <v>27</v>
      </c>
      <c r="H153" s="5" t="s">
        <v>248</v>
      </c>
      <c r="I153" t="s">
        <v>148</v>
      </c>
    </row>
    <row r="154" spans="1:9" ht="16" thickBot="1" x14ac:dyDescent="0.25">
      <c r="A154" s="11" t="s">
        <v>402</v>
      </c>
      <c r="B154" s="12" t="s">
        <v>403</v>
      </c>
      <c r="C154" t="str">
        <f t="shared" si="5"/>
        <v>PYX OPE</v>
      </c>
      <c r="D154" s="5" t="s">
        <v>403</v>
      </c>
      <c r="E154" t="s">
        <v>401</v>
      </c>
      <c r="G154">
        <v>27</v>
      </c>
      <c r="H154" s="5" t="s">
        <v>251</v>
      </c>
      <c r="I154" t="s">
        <v>148</v>
      </c>
    </row>
    <row r="155" spans="1:9" x14ac:dyDescent="0.2">
      <c r="A155" s="8" t="s">
        <v>404</v>
      </c>
      <c r="B155" s="8" t="s">
        <v>405</v>
      </c>
      <c r="C155" t="e">
        <f t="shared" si="5"/>
        <v>#VALUE!</v>
      </c>
      <c r="D155" s="5" t="s">
        <v>405</v>
      </c>
      <c r="E155" t="s">
        <v>406</v>
      </c>
      <c r="G155">
        <v>27</v>
      </c>
      <c r="H155" s="5" t="s">
        <v>253</v>
      </c>
      <c r="I155" t="s">
        <v>148</v>
      </c>
    </row>
    <row r="156" spans="1:9" x14ac:dyDescent="0.2">
      <c r="A156" s="13" t="s">
        <v>407</v>
      </c>
      <c r="B156" s="8" t="s">
        <v>38</v>
      </c>
      <c r="C156" t="str">
        <f t="shared" si="5"/>
        <v>SPHENO</v>
      </c>
      <c r="D156" s="5" t="s">
        <v>38</v>
      </c>
      <c r="E156" t="s">
        <v>406</v>
      </c>
      <c r="G156">
        <v>23</v>
      </c>
      <c r="H156" s="5" t="s">
        <v>388</v>
      </c>
      <c r="I156" t="s">
        <v>385</v>
      </c>
    </row>
    <row r="157" spans="1:9" ht="16" thickBot="1" x14ac:dyDescent="0.25">
      <c r="A157" s="11"/>
      <c r="B157" s="12" t="s">
        <v>408</v>
      </c>
      <c r="C157" t="e">
        <f t="shared" si="5"/>
        <v>#VALUE!</v>
      </c>
      <c r="D157" s="5" t="s">
        <v>408</v>
      </c>
      <c r="E157" t="s">
        <v>406</v>
      </c>
      <c r="G157">
        <v>23</v>
      </c>
      <c r="H157" s="5" t="s">
        <v>389</v>
      </c>
      <c r="I157" t="s">
        <v>385</v>
      </c>
    </row>
    <row r="158" spans="1:9" x14ac:dyDescent="0.2">
      <c r="A158" s="8" t="s">
        <v>409</v>
      </c>
      <c r="B158" s="8" t="s">
        <v>410</v>
      </c>
      <c r="C158" t="e">
        <f t="shared" si="5"/>
        <v>#VALUE!</v>
      </c>
      <c r="D158" s="5" t="s">
        <v>410</v>
      </c>
      <c r="E158" t="s">
        <v>411</v>
      </c>
      <c r="G158">
        <v>23</v>
      </c>
      <c r="H158" s="5" t="s">
        <v>387</v>
      </c>
      <c r="I158" t="s">
        <v>385</v>
      </c>
    </row>
    <row r="159" spans="1:9" ht="16" thickBot="1" x14ac:dyDescent="0.25">
      <c r="A159" s="11" t="s">
        <v>412</v>
      </c>
      <c r="B159" s="12" t="s">
        <v>413</v>
      </c>
      <c r="C159" t="str">
        <f t="shared" si="5"/>
        <v>TRA DEN</v>
      </c>
      <c r="D159" s="5" t="s">
        <v>413</v>
      </c>
      <c r="E159" t="s">
        <v>411</v>
      </c>
      <c r="G159">
        <v>23</v>
      </c>
      <c r="H159" s="5" t="s">
        <v>384</v>
      </c>
      <c r="I159" t="s">
        <v>385</v>
      </c>
    </row>
    <row r="160" spans="1:9" x14ac:dyDescent="0.2">
      <c r="A160" s="8" t="s">
        <v>414</v>
      </c>
      <c r="B160" s="8" t="s">
        <v>414</v>
      </c>
      <c r="C160" t="e">
        <f t="shared" si="5"/>
        <v>#VALUE!</v>
      </c>
      <c r="D160" s="5" t="s">
        <v>415</v>
      </c>
      <c r="E160" t="s">
        <v>176</v>
      </c>
      <c r="G160">
        <v>23</v>
      </c>
      <c r="H160" s="5" t="s">
        <v>391</v>
      </c>
      <c r="I160" t="s">
        <v>385</v>
      </c>
    </row>
    <row r="161" spans="1:9" x14ac:dyDescent="0.2">
      <c r="A161" s="13" t="s">
        <v>416</v>
      </c>
      <c r="B161" s="8" t="s">
        <v>417</v>
      </c>
      <c r="C161" t="str">
        <f t="shared" si="5"/>
        <v>TRI ARC</v>
      </c>
      <c r="D161" s="5" t="s">
        <v>418</v>
      </c>
      <c r="E161" t="s">
        <v>176</v>
      </c>
      <c r="H161" s="5" t="s">
        <v>393</v>
      </c>
      <c r="I161" t="s">
        <v>394</v>
      </c>
    </row>
    <row r="162" spans="1:9" ht="16" thickBot="1" x14ac:dyDescent="0.25">
      <c r="A162" s="11"/>
      <c r="B162" s="12" t="s">
        <v>419</v>
      </c>
      <c r="C162" t="e">
        <f t="shared" si="5"/>
        <v>#VALUE!</v>
      </c>
      <c r="D162" s="5" t="s">
        <v>420</v>
      </c>
      <c r="E162" t="s">
        <v>176</v>
      </c>
      <c r="H162" s="5" t="s">
        <v>398</v>
      </c>
      <c r="I162" t="s">
        <v>394</v>
      </c>
    </row>
    <row r="163" spans="1:9" x14ac:dyDescent="0.2">
      <c r="A163" s="8" t="s">
        <v>421</v>
      </c>
      <c r="B163" t="str">
        <f>LEFT(A163, SEARCH("(", A163) - 1)</f>
        <v>Arcella dentata </v>
      </c>
      <c r="C163" t="str">
        <f t="shared" si="5"/>
        <v>ARC DEN</v>
      </c>
      <c r="D163" s="5" t="s">
        <v>119</v>
      </c>
      <c r="E163" t="s">
        <v>120</v>
      </c>
      <c r="G163">
        <v>7</v>
      </c>
      <c r="H163" s="5" t="s">
        <v>345</v>
      </c>
      <c r="I163" t="s">
        <v>321</v>
      </c>
    </row>
    <row r="164" spans="1:9" x14ac:dyDescent="0.2">
      <c r="A164" s="8" t="s">
        <v>422</v>
      </c>
      <c r="B164" t="str">
        <f t="shared" ref="B164:B184" si="6">LEFT(A164, SEARCH("(", A164) - 1)</f>
        <v>Arcella mitrata </v>
      </c>
      <c r="C164" t="str">
        <f t="shared" si="5"/>
        <v>ARC MIT</v>
      </c>
      <c r="D164" s="5" t="s">
        <v>136</v>
      </c>
      <c r="E164" t="s">
        <v>108</v>
      </c>
      <c r="G164">
        <v>7</v>
      </c>
      <c r="H164" s="5" t="s">
        <v>350</v>
      </c>
      <c r="I164" t="s">
        <v>321</v>
      </c>
    </row>
    <row r="165" spans="1:9" x14ac:dyDescent="0.2">
      <c r="A165" s="8" t="s">
        <v>423</v>
      </c>
      <c r="B165" t="str">
        <f t="shared" si="6"/>
        <v>Archerella flavum </v>
      </c>
      <c r="C165" t="str">
        <f t="shared" si="5"/>
        <v>ARC FLA</v>
      </c>
      <c r="D165" s="5" t="s">
        <v>150</v>
      </c>
      <c r="E165" t="s">
        <v>91</v>
      </c>
      <c r="H165" s="5" t="s">
        <v>424</v>
      </c>
      <c r="I165" t="s">
        <v>425</v>
      </c>
    </row>
    <row r="166" spans="1:9" x14ac:dyDescent="0.2">
      <c r="A166" s="8" t="s">
        <v>426</v>
      </c>
      <c r="B166" t="str">
        <f t="shared" si="6"/>
        <v>Bullinularia indica </v>
      </c>
      <c r="C166" t="str">
        <f t="shared" si="5"/>
        <v>BUL IND</v>
      </c>
      <c r="D166" s="5" t="s">
        <v>169</v>
      </c>
      <c r="E166" t="s">
        <v>170</v>
      </c>
      <c r="G166">
        <v>25</v>
      </c>
      <c r="H166" s="5" t="s">
        <v>36</v>
      </c>
      <c r="I166" t="s">
        <v>154</v>
      </c>
    </row>
    <row r="167" spans="1:9" x14ac:dyDescent="0.2">
      <c r="A167" s="8" t="s">
        <v>427</v>
      </c>
      <c r="B167" t="str">
        <f t="shared" si="6"/>
        <v>Campascus minutus </v>
      </c>
      <c r="C167" t="str">
        <f t="shared" si="5"/>
        <v>CAM MIN</v>
      </c>
      <c r="D167" s="5" t="s">
        <v>174</v>
      </c>
      <c r="E167" t="s">
        <v>175</v>
      </c>
      <c r="G167">
        <v>25</v>
      </c>
      <c r="H167" s="5" t="s">
        <v>287</v>
      </c>
      <c r="I167" t="s">
        <v>154</v>
      </c>
    </row>
    <row r="168" spans="1:9" x14ac:dyDescent="0.2">
      <c r="A168" s="8" t="s">
        <v>428</v>
      </c>
      <c r="B168" t="str">
        <f t="shared" si="6"/>
        <v>Difflugia leidyi </v>
      </c>
      <c r="C168" t="str">
        <f t="shared" si="5"/>
        <v>DIF LEI</v>
      </c>
      <c r="D168" s="5" t="s">
        <v>263</v>
      </c>
      <c r="E168" t="s">
        <v>264</v>
      </c>
      <c r="H168" s="5" t="s">
        <v>429</v>
      </c>
      <c r="I168" t="s">
        <v>430</v>
      </c>
    </row>
    <row r="169" spans="1:9" x14ac:dyDescent="0.2">
      <c r="A169" s="8" t="s">
        <v>431</v>
      </c>
      <c r="B169" t="str">
        <f t="shared" si="6"/>
        <v xml:space="preserve">Difflugia urceolata type </v>
      </c>
      <c r="C169" t="str">
        <f t="shared" si="5"/>
        <v>DIF URC</v>
      </c>
      <c r="D169" s="5" t="s">
        <v>284</v>
      </c>
      <c r="E169" t="s">
        <v>285</v>
      </c>
      <c r="G169">
        <v>16</v>
      </c>
      <c r="H169" s="5" t="s">
        <v>400</v>
      </c>
      <c r="I169" t="s">
        <v>401</v>
      </c>
    </row>
    <row r="170" spans="1:9" x14ac:dyDescent="0.2">
      <c r="A170" s="8" t="s">
        <v>432</v>
      </c>
      <c r="B170" t="str">
        <f t="shared" si="6"/>
        <v>Heleopera rosea </v>
      </c>
      <c r="C170" t="str">
        <f t="shared" si="5"/>
        <v>HEL ROS</v>
      </c>
      <c r="D170" s="5" t="s">
        <v>332</v>
      </c>
      <c r="E170" t="s">
        <v>333</v>
      </c>
      <c r="G170">
        <v>16</v>
      </c>
      <c r="H170" s="5" t="s">
        <v>403</v>
      </c>
      <c r="I170" t="s">
        <v>401</v>
      </c>
    </row>
    <row r="171" spans="1:9" x14ac:dyDescent="0.2">
      <c r="A171" s="8" t="s">
        <v>433</v>
      </c>
      <c r="B171" t="str">
        <f t="shared" si="6"/>
        <v>Heleopera sylvatica </v>
      </c>
      <c r="C171" t="str">
        <f t="shared" si="5"/>
        <v>HEL SYL</v>
      </c>
      <c r="D171" s="5" t="s">
        <v>335</v>
      </c>
      <c r="E171" t="s">
        <v>131</v>
      </c>
      <c r="G171">
        <v>13</v>
      </c>
      <c r="H171" s="5" t="s">
        <v>434</v>
      </c>
      <c r="I171" t="s">
        <v>435</v>
      </c>
    </row>
    <row r="172" spans="1:9" x14ac:dyDescent="0.2">
      <c r="A172" s="8" t="s">
        <v>436</v>
      </c>
      <c r="B172" t="str">
        <f t="shared" si="6"/>
        <v>Hyalosphenia elegans </v>
      </c>
      <c r="C172" t="str">
        <f t="shared" si="5"/>
        <v>HEL ELE</v>
      </c>
      <c r="D172" s="5" t="s">
        <v>336</v>
      </c>
      <c r="E172" t="s">
        <v>144</v>
      </c>
      <c r="G172">
        <v>24</v>
      </c>
      <c r="H172" s="5" t="s">
        <v>405</v>
      </c>
      <c r="I172" t="s">
        <v>406</v>
      </c>
    </row>
    <row r="173" spans="1:9" x14ac:dyDescent="0.2">
      <c r="A173" s="8" t="s">
        <v>437</v>
      </c>
      <c r="B173" t="str">
        <f t="shared" si="6"/>
        <v>Hyalosphenia papilio </v>
      </c>
      <c r="C173" t="str">
        <f t="shared" si="5"/>
        <v>HYA PAP</v>
      </c>
      <c r="D173" s="5" t="s">
        <v>346</v>
      </c>
      <c r="E173" t="s">
        <v>140</v>
      </c>
      <c r="G173">
        <v>24</v>
      </c>
      <c r="H173" s="5" t="s">
        <v>38</v>
      </c>
      <c r="I173" t="s">
        <v>406</v>
      </c>
    </row>
    <row r="174" spans="1:9" x14ac:dyDescent="0.2">
      <c r="A174" s="8" t="s">
        <v>438</v>
      </c>
      <c r="B174" t="str">
        <f t="shared" si="6"/>
        <v>Hyalosphenia subflava </v>
      </c>
      <c r="C174" t="str">
        <f t="shared" si="5"/>
        <v>HYA SUB</v>
      </c>
      <c r="D174" s="5" t="s">
        <v>439</v>
      </c>
      <c r="E174" t="s">
        <v>134</v>
      </c>
      <c r="G174">
        <v>24</v>
      </c>
      <c r="H174" s="5" t="s">
        <v>408</v>
      </c>
      <c r="I174" t="s">
        <v>406</v>
      </c>
    </row>
    <row r="175" spans="1:9" x14ac:dyDescent="0.2">
      <c r="A175" s="8" t="s">
        <v>440</v>
      </c>
      <c r="B175" t="str">
        <f t="shared" si="6"/>
        <v>Lagenodifflugia vas </v>
      </c>
      <c r="C175" t="str">
        <f t="shared" si="5"/>
        <v>LAG VAS</v>
      </c>
      <c r="D175" s="5" t="s">
        <v>348</v>
      </c>
      <c r="E175" t="s">
        <v>349</v>
      </c>
      <c r="G175">
        <v>20</v>
      </c>
      <c r="H175" s="5" t="s">
        <v>413</v>
      </c>
      <c r="I175" t="s">
        <v>411</v>
      </c>
    </row>
    <row r="176" spans="1:9" x14ac:dyDescent="0.2">
      <c r="A176" s="8" t="s">
        <v>441</v>
      </c>
      <c r="B176" t="str">
        <f t="shared" si="6"/>
        <v>Lesquereusia epistomum </v>
      </c>
      <c r="C176" t="str">
        <f t="shared" si="5"/>
        <v>LES EPI</v>
      </c>
      <c r="D176" s="5" t="s">
        <v>351</v>
      </c>
      <c r="E176" t="s">
        <v>352</v>
      </c>
      <c r="G176">
        <v>20</v>
      </c>
      <c r="H176" s="5" t="s">
        <v>410</v>
      </c>
      <c r="I176" t="s">
        <v>411</v>
      </c>
    </row>
    <row r="177" spans="1:9" x14ac:dyDescent="0.2">
      <c r="A177" s="8" t="s">
        <v>442</v>
      </c>
      <c r="B177" t="str">
        <f>LEFT(A177, SEARCH("(", A177) - 1)</f>
        <v xml:space="preserve">Longinebela </v>
      </c>
      <c r="C177" t="s">
        <v>113</v>
      </c>
      <c r="D177" s="5" t="s">
        <v>112</v>
      </c>
      <c r="E177" t="s">
        <v>113</v>
      </c>
      <c r="G177">
        <v>52</v>
      </c>
      <c r="H177" s="5" t="s">
        <v>415</v>
      </c>
      <c r="I177" t="s">
        <v>176</v>
      </c>
    </row>
    <row r="178" spans="1:9" x14ac:dyDescent="0.2">
      <c r="A178" s="8" t="s">
        <v>443</v>
      </c>
      <c r="B178" t="str">
        <f t="shared" si="6"/>
        <v>Microclamys patella </v>
      </c>
      <c r="C178" t="str">
        <f t="shared" si="5"/>
        <v>MIC PAT</v>
      </c>
      <c r="D178" s="5" t="s">
        <v>360</v>
      </c>
      <c r="E178" t="s">
        <v>361</v>
      </c>
      <c r="G178">
        <v>52</v>
      </c>
      <c r="H178" s="5" t="s">
        <v>418</v>
      </c>
      <c r="I178" t="s">
        <v>176</v>
      </c>
    </row>
    <row r="179" spans="1:9" x14ac:dyDescent="0.2">
      <c r="A179" s="8" t="s">
        <v>444</v>
      </c>
      <c r="B179" t="str">
        <f>LEFT(A179, SEARCH("(", A179) - 1)</f>
        <v>Nebela flabellulum </v>
      </c>
      <c r="C179" t="str">
        <f t="shared" si="5"/>
        <v>NEB FLA</v>
      </c>
      <c r="D179" s="5" t="s">
        <v>161</v>
      </c>
      <c r="E179" t="s">
        <v>162</v>
      </c>
      <c r="G179">
        <v>52</v>
      </c>
      <c r="H179" s="5" t="s">
        <v>420</v>
      </c>
      <c r="I179" t="s">
        <v>176</v>
      </c>
    </row>
    <row r="180" spans="1:9" x14ac:dyDescent="0.2">
      <c r="A180" s="8" t="s">
        <v>445</v>
      </c>
      <c r="B180" t="str">
        <f t="shared" si="6"/>
        <v xml:space="preserve">Nebela minor type </v>
      </c>
      <c r="C180" t="str">
        <f t="shared" si="5"/>
        <v>NEB MIN</v>
      </c>
      <c r="D180" s="5" t="s">
        <v>377</v>
      </c>
      <c r="E180" t="s">
        <v>378</v>
      </c>
      <c r="G180">
        <v>50</v>
      </c>
      <c r="H180" s="5" t="s">
        <v>209</v>
      </c>
      <c r="I180" t="s">
        <v>125</v>
      </c>
    </row>
    <row r="181" spans="1:9" x14ac:dyDescent="0.2">
      <c r="A181" s="8" t="s">
        <v>446</v>
      </c>
      <c r="B181" t="str">
        <f t="shared" si="6"/>
        <v>Paraquadrula irregularis </v>
      </c>
      <c r="C181" t="str">
        <f t="shared" si="5"/>
        <v>PAR IRR</v>
      </c>
      <c r="D181" s="5" t="s">
        <v>395</v>
      </c>
      <c r="E181" t="s">
        <v>396</v>
      </c>
      <c r="G181">
        <v>50</v>
      </c>
      <c r="H181" s="5" t="s">
        <v>210</v>
      </c>
      <c r="I181" t="s">
        <v>125</v>
      </c>
    </row>
    <row r="182" spans="1:9" x14ac:dyDescent="0.2">
      <c r="A182" s="8" t="s">
        <v>447</v>
      </c>
      <c r="B182" t="str">
        <f t="shared" si="6"/>
        <v>Pontigulasia elisa </v>
      </c>
      <c r="C182" t="str">
        <f t="shared" si="5"/>
        <v>PON ELI</v>
      </c>
      <c r="D182" s="5" t="s">
        <v>424</v>
      </c>
      <c r="E182" t="s">
        <v>425</v>
      </c>
      <c r="G182">
        <v>50</v>
      </c>
      <c r="H182" s="5" t="s">
        <v>212</v>
      </c>
      <c r="I182" t="s">
        <v>125</v>
      </c>
    </row>
    <row r="183" spans="1:9" x14ac:dyDescent="0.2">
      <c r="A183" s="8" t="s">
        <v>448</v>
      </c>
      <c r="B183" t="str">
        <f t="shared" si="6"/>
        <v>Pseudodifflugia gracilis </v>
      </c>
      <c r="C183" t="str">
        <f t="shared" si="5"/>
        <v>PSE GRA</v>
      </c>
      <c r="D183" s="5" t="s">
        <v>429</v>
      </c>
      <c r="E183" t="s">
        <v>430</v>
      </c>
      <c r="G183">
        <v>50</v>
      </c>
      <c r="H183" s="5" t="s">
        <v>213</v>
      </c>
      <c r="I183" t="s">
        <v>125</v>
      </c>
    </row>
    <row r="184" spans="1:9" ht="16" thickBot="1" x14ac:dyDescent="0.25">
      <c r="A184" s="12" t="s">
        <v>449</v>
      </c>
      <c r="B184" t="str">
        <f t="shared" si="6"/>
        <v>Quadrulella symmetrica </v>
      </c>
      <c r="C184" t="str">
        <f t="shared" si="5"/>
        <v>QUA SYM</v>
      </c>
      <c r="D184" s="5" t="s">
        <v>434</v>
      </c>
      <c r="E184" t="s">
        <v>435</v>
      </c>
      <c r="G184">
        <v>47</v>
      </c>
      <c r="H184" s="5" t="s">
        <v>155</v>
      </c>
      <c r="I184" t="s">
        <v>89</v>
      </c>
    </row>
  </sheetData>
  <mergeCells count="2">
    <mergeCell ref="A1:B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5033-E983-2442-9058-B32C133D1D62}">
  <dimension ref="A1:AD16"/>
  <sheetViews>
    <sheetView workbookViewId="0">
      <selection activeCell="G23" sqref="G23"/>
    </sheetView>
  </sheetViews>
  <sheetFormatPr baseColWidth="10" defaultRowHeight="15" x14ac:dyDescent="0.2"/>
  <sheetData>
    <row r="1" spans="1:30" x14ac:dyDescent="0.2">
      <c r="A1" t="s">
        <v>462</v>
      </c>
      <c r="B1" t="s">
        <v>464</v>
      </c>
      <c r="C1" t="s">
        <v>465</v>
      </c>
      <c r="D1" t="s">
        <v>113</v>
      </c>
      <c r="E1" t="s">
        <v>88</v>
      </c>
      <c r="F1" t="s">
        <v>91</v>
      </c>
      <c r="G1" t="s">
        <v>89</v>
      </c>
      <c r="H1" t="s">
        <v>96</v>
      </c>
      <c r="I1" t="s">
        <v>117</v>
      </c>
      <c r="J1" t="s">
        <v>122</v>
      </c>
      <c r="K1" t="s">
        <v>125</v>
      </c>
      <c r="L1" t="s">
        <v>216</v>
      </c>
      <c r="M1" t="s">
        <v>148</v>
      </c>
      <c r="N1" t="s">
        <v>151</v>
      </c>
      <c r="O1" t="s">
        <v>154</v>
      </c>
      <c r="P1" t="s">
        <v>156</v>
      </c>
      <c r="Q1" t="s">
        <v>171</v>
      </c>
      <c r="R1" t="s">
        <v>292</v>
      </c>
      <c r="S1" t="s">
        <v>102</v>
      </c>
      <c r="T1" t="s">
        <v>129</v>
      </c>
      <c r="U1" t="s">
        <v>333</v>
      </c>
      <c r="V1" t="s">
        <v>131</v>
      </c>
      <c r="W1" t="s">
        <v>144</v>
      </c>
      <c r="X1" t="s">
        <v>137</v>
      </c>
      <c r="Y1" t="s">
        <v>140</v>
      </c>
      <c r="Z1" t="s">
        <v>134</v>
      </c>
      <c r="AA1" t="s">
        <v>162</v>
      </c>
      <c r="AB1" t="s">
        <v>364</v>
      </c>
      <c r="AC1" t="s">
        <v>323</v>
      </c>
      <c r="AD1" t="s">
        <v>176</v>
      </c>
    </row>
    <row r="2" spans="1:30" x14ac:dyDescent="0.2">
      <c r="A2">
        <v>9</v>
      </c>
      <c r="D2">
        <v>26.47058823529412</v>
      </c>
      <c r="E2">
        <v>0</v>
      </c>
      <c r="F2">
        <v>0.98039215686274506</v>
      </c>
      <c r="G2">
        <v>4.9019607843137258</v>
      </c>
      <c r="H2">
        <v>0</v>
      </c>
      <c r="I2">
        <v>0</v>
      </c>
      <c r="J2">
        <v>0</v>
      </c>
      <c r="K2">
        <v>0</v>
      </c>
      <c r="L2">
        <v>0</v>
      </c>
      <c r="M2">
        <v>15.686274509803921</v>
      </c>
      <c r="N2">
        <v>0</v>
      </c>
      <c r="O2">
        <v>9.8039215686274517</v>
      </c>
      <c r="P2">
        <v>12.745098039215685</v>
      </c>
      <c r="Q2">
        <v>0.98039215686274506</v>
      </c>
      <c r="R2">
        <v>0</v>
      </c>
      <c r="S2">
        <v>0</v>
      </c>
      <c r="T2">
        <v>0</v>
      </c>
      <c r="U2">
        <v>0</v>
      </c>
      <c r="V2">
        <v>0.98039215686274506</v>
      </c>
      <c r="W2">
        <v>2.9411764705882351</v>
      </c>
      <c r="X2">
        <v>0.98039215686274506</v>
      </c>
      <c r="Y2">
        <v>0</v>
      </c>
      <c r="Z2">
        <v>17.647058823529413</v>
      </c>
      <c r="AA2">
        <v>0</v>
      </c>
      <c r="AB2">
        <v>0</v>
      </c>
      <c r="AC2">
        <v>0</v>
      </c>
      <c r="AD2">
        <v>5.8823529411764701</v>
      </c>
    </row>
    <row r="3" spans="1:30" x14ac:dyDescent="0.2">
      <c r="A3">
        <v>19</v>
      </c>
      <c r="D3">
        <v>20.408163265306122</v>
      </c>
      <c r="E3">
        <v>0</v>
      </c>
      <c r="F3">
        <v>0</v>
      </c>
      <c r="G3">
        <v>8.1632653061224492</v>
      </c>
      <c r="H3">
        <v>0</v>
      </c>
      <c r="I3">
        <v>0</v>
      </c>
      <c r="J3">
        <v>1.0204081632653061</v>
      </c>
      <c r="K3">
        <v>0</v>
      </c>
      <c r="L3">
        <v>1.0204081632653061</v>
      </c>
      <c r="M3">
        <v>36.734693877551024</v>
      </c>
      <c r="N3">
        <v>0</v>
      </c>
      <c r="O3">
        <v>3.0612244897959182</v>
      </c>
      <c r="P3">
        <v>18.367346938775512</v>
      </c>
      <c r="Q3">
        <v>0</v>
      </c>
      <c r="R3">
        <v>0</v>
      </c>
      <c r="S3">
        <v>2.0408163265306123</v>
      </c>
      <c r="T3">
        <v>1.0204081632653061</v>
      </c>
      <c r="U3">
        <v>0</v>
      </c>
      <c r="V3">
        <v>2.0408163265306123</v>
      </c>
      <c r="W3">
        <v>1.0204081632653061</v>
      </c>
      <c r="X3">
        <v>0</v>
      </c>
      <c r="Y3">
        <v>0</v>
      </c>
      <c r="Z3">
        <v>1.0204081632653061</v>
      </c>
      <c r="AA3">
        <v>0</v>
      </c>
      <c r="AB3">
        <v>0</v>
      </c>
      <c r="AC3">
        <v>0</v>
      </c>
      <c r="AD3">
        <v>4.0816326530612246</v>
      </c>
    </row>
    <row r="4" spans="1:30" x14ac:dyDescent="0.2">
      <c r="A4">
        <v>29</v>
      </c>
      <c r="D4">
        <v>34.408602150537639</v>
      </c>
      <c r="E4">
        <v>2.1505376344086025</v>
      </c>
      <c r="F4">
        <v>10.75268817204301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15.053763440860216</v>
      </c>
      <c r="N4">
        <v>0</v>
      </c>
      <c r="O4">
        <v>0</v>
      </c>
      <c r="P4">
        <v>11.827956989247312</v>
      </c>
      <c r="Q4">
        <v>0</v>
      </c>
      <c r="R4">
        <v>0</v>
      </c>
      <c r="S4">
        <v>0</v>
      </c>
      <c r="T4">
        <v>6.4516129032258061</v>
      </c>
      <c r="U4">
        <v>0</v>
      </c>
      <c r="V4">
        <v>6.4516129032258061</v>
      </c>
      <c r="W4">
        <v>0</v>
      </c>
      <c r="X4">
        <v>1.0752688172043012</v>
      </c>
      <c r="Y4">
        <v>1.0752688172043012</v>
      </c>
      <c r="Z4">
        <v>2.1505376344086025</v>
      </c>
      <c r="AA4">
        <v>6.4516129032258061</v>
      </c>
      <c r="AB4">
        <v>1.0752688172043012</v>
      </c>
      <c r="AC4">
        <v>0</v>
      </c>
      <c r="AD4">
        <v>1.0752688172043012</v>
      </c>
    </row>
    <row r="5" spans="1:30" x14ac:dyDescent="0.2">
      <c r="A5">
        <v>39</v>
      </c>
      <c r="D5">
        <v>20.175438596491226</v>
      </c>
      <c r="E5">
        <v>9.6491228070175428</v>
      </c>
      <c r="F5">
        <v>21.052631578947366</v>
      </c>
      <c r="G5">
        <v>12.280701754385964</v>
      </c>
      <c r="H5">
        <v>3.5087719298245612</v>
      </c>
      <c r="I5">
        <v>0</v>
      </c>
      <c r="J5">
        <v>0</v>
      </c>
      <c r="K5">
        <v>3.5087719298245612</v>
      </c>
      <c r="L5">
        <v>0</v>
      </c>
      <c r="M5">
        <v>9.6491228070175428</v>
      </c>
      <c r="N5">
        <v>0</v>
      </c>
      <c r="O5">
        <v>2.6315789473684208</v>
      </c>
      <c r="P5">
        <v>4.3859649122807012</v>
      </c>
      <c r="Q5">
        <v>0.8771929824561403</v>
      </c>
      <c r="R5">
        <v>0</v>
      </c>
      <c r="S5">
        <v>0</v>
      </c>
      <c r="T5">
        <v>3.5087719298245612</v>
      </c>
      <c r="U5">
        <v>0</v>
      </c>
      <c r="V5">
        <v>5.2631578947368416</v>
      </c>
      <c r="W5">
        <v>1.7543859649122806</v>
      </c>
      <c r="X5">
        <v>0</v>
      </c>
      <c r="Y5">
        <v>0</v>
      </c>
      <c r="Z5">
        <v>0</v>
      </c>
      <c r="AA5">
        <v>0.8771929824561403</v>
      </c>
      <c r="AB5">
        <v>0</v>
      </c>
      <c r="AC5">
        <v>0</v>
      </c>
      <c r="AD5">
        <v>0.8771929824561403</v>
      </c>
    </row>
    <row r="6" spans="1:30" x14ac:dyDescent="0.2">
      <c r="A6">
        <v>50</v>
      </c>
      <c r="D6">
        <v>17.475728155339805</v>
      </c>
      <c r="E6">
        <v>15.53398058252427</v>
      </c>
      <c r="F6">
        <v>23.300970873786408</v>
      </c>
      <c r="G6">
        <v>9.7087378640776691</v>
      </c>
      <c r="H6">
        <v>0.97087378640776689</v>
      </c>
      <c r="I6">
        <v>0</v>
      </c>
      <c r="J6">
        <v>0</v>
      </c>
      <c r="K6">
        <v>0.97087378640776689</v>
      </c>
      <c r="L6">
        <v>0</v>
      </c>
      <c r="M6">
        <v>4.8543689320388346</v>
      </c>
      <c r="N6">
        <v>0</v>
      </c>
      <c r="O6">
        <v>3.8834951456310676</v>
      </c>
      <c r="P6">
        <v>11.650485436893204</v>
      </c>
      <c r="Q6">
        <v>0</v>
      </c>
      <c r="R6">
        <v>0</v>
      </c>
      <c r="S6">
        <v>0</v>
      </c>
      <c r="T6">
        <v>1.9417475728155338</v>
      </c>
      <c r="U6">
        <v>0</v>
      </c>
      <c r="V6">
        <v>3.8834951456310676</v>
      </c>
      <c r="W6">
        <v>0.97087378640776689</v>
      </c>
      <c r="X6">
        <v>0.97087378640776689</v>
      </c>
      <c r="Y6">
        <v>0</v>
      </c>
      <c r="Z6">
        <v>0</v>
      </c>
      <c r="AA6">
        <v>3.8834951456310676</v>
      </c>
      <c r="AB6">
        <v>0</v>
      </c>
      <c r="AC6">
        <v>0</v>
      </c>
      <c r="AD6">
        <v>0</v>
      </c>
    </row>
    <row r="7" spans="1:30" x14ac:dyDescent="0.2">
      <c r="A7">
        <v>59</v>
      </c>
      <c r="D7">
        <v>0</v>
      </c>
      <c r="E7">
        <v>35.714285714285715</v>
      </c>
      <c r="F7">
        <v>34.693877551020407</v>
      </c>
      <c r="G7">
        <v>10.204081632653061</v>
      </c>
      <c r="H7">
        <v>0</v>
      </c>
      <c r="I7">
        <v>1.0204081632653061</v>
      </c>
      <c r="J7">
        <v>0</v>
      </c>
      <c r="K7">
        <v>1.0204081632653061</v>
      </c>
      <c r="L7">
        <v>0</v>
      </c>
      <c r="M7">
        <v>3.0612244897959182</v>
      </c>
      <c r="N7">
        <v>0</v>
      </c>
      <c r="O7">
        <v>1.0204081632653061</v>
      </c>
      <c r="P7">
        <v>2.0408163265306123</v>
      </c>
      <c r="Q7">
        <v>0</v>
      </c>
      <c r="R7">
        <v>0</v>
      </c>
      <c r="S7">
        <v>0</v>
      </c>
      <c r="T7">
        <v>2.0408163265306123</v>
      </c>
      <c r="U7">
        <v>0</v>
      </c>
      <c r="V7">
        <v>0</v>
      </c>
      <c r="W7">
        <v>0</v>
      </c>
      <c r="X7">
        <v>1.0204081632653061</v>
      </c>
      <c r="Y7">
        <v>1.0204081632653061</v>
      </c>
      <c r="Z7">
        <v>1.0204081632653061</v>
      </c>
      <c r="AA7">
        <v>3.0612244897959182</v>
      </c>
      <c r="AB7">
        <v>0</v>
      </c>
      <c r="AC7">
        <v>0</v>
      </c>
      <c r="AD7">
        <v>3.0612244897959182</v>
      </c>
    </row>
    <row r="8" spans="1:30" x14ac:dyDescent="0.2">
      <c r="A8">
        <v>69</v>
      </c>
      <c r="D8">
        <v>4.2105263157894735</v>
      </c>
      <c r="E8">
        <v>27.368421052631582</v>
      </c>
      <c r="F8">
        <v>24.210526315789473</v>
      </c>
      <c r="G8">
        <v>17.894736842105264</v>
      </c>
      <c r="H8">
        <v>0</v>
      </c>
      <c r="I8">
        <v>0</v>
      </c>
      <c r="J8">
        <v>1.0526315789473684</v>
      </c>
      <c r="K8">
        <v>0</v>
      </c>
      <c r="L8">
        <v>0</v>
      </c>
      <c r="M8">
        <v>7.3684210526315779</v>
      </c>
      <c r="N8">
        <v>0</v>
      </c>
      <c r="O8">
        <v>8.4210526315789469</v>
      </c>
      <c r="P8">
        <v>1.0526315789473684</v>
      </c>
      <c r="Q8">
        <v>0</v>
      </c>
      <c r="R8">
        <v>0</v>
      </c>
      <c r="S8">
        <v>0</v>
      </c>
      <c r="T8">
        <v>4.2105263157894735</v>
      </c>
      <c r="U8">
        <v>0</v>
      </c>
      <c r="V8">
        <v>3.1578947368421053</v>
      </c>
      <c r="W8">
        <v>0</v>
      </c>
      <c r="X8">
        <v>0</v>
      </c>
      <c r="Y8">
        <v>0</v>
      </c>
      <c r="Z8">
        <v>0</v>
      </c>
      <c r="AA8">
        <v>1.0526315789473684</v>
      </c>
      <c r="AB8">
        <v>0</v>
      </c>
      <c r="AC8">
        <v>0</v>
      </c>
      <c r="AD8">
        <v>0</v>
      </c>
    </row>
    <row r="9" spans="1:30" x14ac:dyDescent="0.2">
      <c r="A9">
        <v>79</v>
      </c>
      <c r="D9">
        <v>31</v>
      </c>
      <c r="E9">
        <v>6</v>
      </c>
      <c r="F9">
        <v>10</v>
      </c>
      <c r="G9">
        <v>8</v>
      </c>
      <c r="H9">
        <v>0</v>
      </c>
      <c r="I9">
        <v>2</v>
      </c>
      <c r="J9">
        <v>0</v>
      </c>
      <c r="K9">
        <v>0</v>
      </c>
      <c r="L9">
        <v>0</v>
      </c>
      <c r="M9">
        <v>21</v>
      </c>
      <c r="N9">
        <v>1</v>
      </c>
      <c r="O9">
        <v>5</v>
      </c>
      <c r="P9">
        <v>9</v>
      </c>
      <c r="Q9">
        <v>1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2</v>
      </c>
      <c r="AB9">
        <v>0</v>
      </c>
      <c r="AC9">
        <v>1</v>
      </c>
      <c r="AD9">
        <v>0</v>
      </c>
    </row>
    <row r="10" spans="1:30" x14ac:dyDescent="0.2">
      <c r="A10">
        <v>89</v>
      </c>
      <c r="D10">
        <v>23</v>
      </c>
      <c r="E10">
        <v>9</v>
      </c>
      <c r="F10">
        <v>13</v>
      </c>
      <c r="G10">
        <v>8</v>
      </c>
      <c r="H10">
        <v>1</v>
      </c>
      <c r="I10">
        <v>3</v>
      </c>
      <c r="J10">
        <v>0</v>
      </c>
      <c r="K10">
        <v>0</v>
      </c>
      <c r="L10">
        <v>0</v>
      </c>
      <c r="M10">
        <v>17</v>
      </c>
      <c r="N10">
        <v>0</v>
      </c>
      <c r="O10">
        <v>3</v>
      </c>
      <c r="P10">
        <v>16</v>
      </c>
      <c r="Q10">
        <v>0</v>
      </c>
      <c r="R10">
        <v>1</v>
      </c>
      <c r="S10">
        <v>0</v>
      </c>
      <c r="T10">
        <v>1</v>
      </c>
      <c r="U10">
        <v>0</v>
      </c>
      <c r="V10">
        <v>2</v>
      </c>
      <c r="W10">
        <v>1</v>
      </c>
      <c r="X10">
        <v>0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</row>
    <row r="11" spans="1:30" x14ac:dyDescent="0.2">
      <c r="A11">
        <v>100</v>
      </c>
      <c r="D11">
        <v>12.244897959183673</v>
      </c>
      <c r="E11">
        <v>30.612244897959183</v>
      </c>
      <c r="F11">
        <v>12.244897959183673</v>
      </c>
      <c r="G11">
        <v>13.26530612244898</v>
      </c>
      <c r="H11">
        <v>3.0612244897959182</v>
      </c>
      <c r="I11">
        <v>1.0204081632653061</v>
      </c>
      <c r="J11">
        <v>0</v>
      </c>
      <c r="K11">
        <v>0</v>
      </c>
      <c r="L11">
        <v>0</v>
      </c>
      <c r="M11">
        <v>13.26530612244898</v>
      </c>
      <c r="N11">
        <v>0</v>
      </c>
      <c r="O11">
        <v>4.0816326530612246</v>
      </c>
      <c r="P11">
        <v>2.0408163265306123</v>
      </c>
      <c r="Q11">
        <v>0</v>
      </c>
      <c r="R11">
        <v>0</v>
      </c>
      <c r="S11">
        <v>0</v>
      </c>
      <c r="T11">
        <v>4.0816326530612246</v>
      </c>
      <c r="U11">
        <v>2.0408163265306123</v>
      </c>
      <c r="V11">
        <v>0</v>
      </c>
      <c r="W11">
        <v>0</v>
      </c>
      <c r="X11">
        <v>0</v>
      </c>
      <c r="Y11">
        <v>0</v>
      </c>
      <c r="Z11">
        <v>0</v>
      </c>
      <c r="AA11">
        <v>2.0408163265306123</v>
      </c>
      <c r="AB11">
        <v>0</v>
      </c>
      <c r="AC11">
        <v>0</v>
      </c>
      <c r="AD11">
        <v>0</v>
      </c>
    </row>
    <row r="12" spans="1:30" x14ac:dyDescent="0.2">
      <c r="A12">
        <v>109</v>
      </c>
      <c r="D12">
        <v>17.20430107526882</v>
      </c>
      <c r="E12">
        <v>6.4516129032258061</v>
      </c>
      <c r="F12">
        <v>15.053763440860216</v>
      </c>
      <c r="G12">
        <v>15.053763440860216</v>
      </c>
      <c r="H12">
        <v>1.0752688172043012</v>
      </c>
      <c r="I12">
        <v>0</v>
      </c>
      <c r="J12">
        <v>0</v>
      </c>
      <c r="K12">
        <v>1.0752688172043012</v>
      </c>
      <c r="L12">
        <v>0</v>
      </c>
      <c r="M12">
        <v>11.827956989247312</v>
      </c>
      <c r="N12">
        <v>0</v>
      </c>
      <c r="O12">
        <v>5.376344086021505</v>
      </c>
      <c r="P12">
        <v>22.58064516129032</v>
      </c>
      <c r="Q12">
        <v>0</v>
      </c>
      <c r="R12">
        <v>0</v>
      </c>
      <c r="S12">
        <v>0</v>
      </c>
      <c r="T12">
        <v>1.0752688172043012</v>
      </c>
      <c r="U12">
        <v>0</v>
      </c>
      <c r="V12">
        <v>2.1505376344086025</v>
      </c>
      <c r="W12">
        <v>0</v>
      </c>
      <c r="X12">
        <v>1.0752688172043012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">
      <c r="A13">
        <v>119</v>
      </c>
      <c r="D13">
        <v>8.8888888888888893</v>
      </c>
      <c r="E13">
        <v>6.666666666666667</v>
      </c>
      <c r="F13">
        <v>17.777777777777779</v>
      </c>
      <c r="G13">
        <v>8.8888888888888893</v>
      </c>
      <c r="H13">
        <v>8.8888888888888893</v>
      </c>
      <c r="I13">
        <v>4.4444444444444446</v>
      </c>
      <c r="J13">
        <v>0</v>
      </c>
      <c r="K13">
        <v>4.4444444444444446</v>
      </c>
      <c r="L13">
        <v>0</v>
      </c>
      <c r="M13">
        <v>4.4444444444444446</v>
      </c>
      <c r="N13">
        <v>0</v>
      </c>
      <c r="O13">
        <v>4.4444444444444446</v>
      </c>
      <c r="P13">
        <v>11.111111111111111</v>
      </c>
      <c r="Q13">
        <v>2.2222222222222223</v>
      </c>
      <c r="R13">
        <v>0</v>
      </c>
      <c r="S13">
        <v>0</v>
      </c>
      <c r="T13">
        <v>0</v>
      </c>
      <c r="U13">
        <v>0</v>
      </c>
      <c r="V13">
        <v>11.111111111111111</v>
      </c>
      <c r="W13">
        <v>2.2222222222222223</v>
      </c>
      <c r="X13">
        <v>0</v>
      </c>
      <c r="Y13">
        <v>2.2222222222222223</v>
      </c>
      <c r="Z13">
        <v>0</v>
      </c>
      <c r="AA13">
        <v>2.2222222222222223</v>
      </c>
      <c r="AB13">
        <v>0</v>
      </c>
      <c r="AC13">
        <v>0</v>
      </c>
      <c r="AD13">
        <v>0</v>
      </c>
    </row>
    <row r="14" spans="1:30" x14ac:dyDescent="0.2">
      <c r="A14">
        <v>129</v>
      </c>
      <c r="D14">
        <v>10.377358490566039</v>
      </c>
      <c r="E14">
        <v>15.09433962264151</v>
      </c>
      <c r="F14">
        <v>18.867924528301888</v>
      </c>
      <c r="G14">
        <v>6.6037735849056602</v>
      </c>
      <c r="H14">
        <v>0.94339622641509435</v>
      </c>
      <c r="I14">
        <v>1.8867924528301887</v>
      </c>
      <c r="J14">
        <v>0</v>
      </c>
      <c r="K14">
        <v>0</v>
      </c>
      <c r="L14">
        <v>0</v>
      </c>
      <c r="M14">
        <v>9.433962264150944</v>
      </c>
      <c r="N14">
        <v>0</v>
      </c>
      <c r="O14">
        <v>3.7735849056603774</v>
      </c>
      <c r="P14">
        <v>29.245283018867923</v>
      </c>
      <c r="Q14">
        <v>0</v>
      </c>
      <c r="R14">
        <v>1.8867924528301887</v>
      </c>
      <c r="S14">
        <v>0</v>
      </c>
      <c r="T14">
        <v>0.94339622641509435</v>
      </c>
      <c r="U14">
        <v>0</v>
      </c>
      <c r="V14">
        <v>0.94339622641509435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">
      <c r="A15">
        <v>139</v>
      </c>
      <c r="D15">
        <v>7.9207920792079207</v>
      </c>
      <c r="E15">
        <v>11.881188118811881</v>
      </c>
      <c r="F15">
        <v>20.792079207920793</v>
      </c>
      <c r="G15">
        <v>23.762376237623762</v>
      </c>
      <c r="H15">
        <v>0.99009900990099009</v>
      </c>
      <c r="I15">
        <v>0.99009900990099009</v>
      </c>
      <c r="J15">
        <v>0</v>
      </c>
      <c r="K15">
        <v>0.99009900990099009</v>
      </c>
      <c r="L15">
        <v>0</v>
      </c>
      <c r="M15">
        <v>10.891089108910892</v>
      </c>
      <c r="N15">
        <v>0</v>
      </c>
      <c r="O15">
        <v>2.9702970297029703</v>
      </c>
      <c r="P15">
        <v>11.881188118811881</v>
      </c>
      <c r="Q15">
        <v>0.99009900990099009</v>
      </c>
      <c r="R15">
        <v>2.9702970297029703</v>
      </c>
      <c r="S15">
        <v>0</v>
      </c>
      <c r="T15">
        <v>0</v>
      </c>
      <c r="U15">
        <v>0</v>
      </c>
      <c r="V15">
        <v>1.9801980198019802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0.99009900990099009</v>
      </c>
    </row>
    <row r="16" spans="1:30" x14ac:dyDescent="0.2">
      <c r="A16">
        <v>149</v>
      </c>
      <c r="D16">
        <v>10.891089108910892</v>
      </c>
      <c r="E16">
        <v>9.9009900990099009</v>
      </c>
      <c r="F16">
        <v>7.9207920792079207</v>
      </c>
      <c r="G16">
        <v>11.881188118811881</v>
      </c>
      <c r="H16">
        <v>2.9702970297029703</v>
      </c>
      <c r="I16">
        <v>3.9603960396039604</v>
      </c>
      <c r="J16">
        <v>0</v>
      </c>
      <c r="K16">
        <v>0</v>
      </c>
      <c r="L16">
        <v>0</v>
      </c>
      <c r="M16">
        <v>17.82178217821782</v>
      </c>
      <c r="N16">
        <v>0</v>
      </c>
      <c r="O16">
        <v>3.9603960396039604</v>
      </c>
      <c r="P16">
        <v>23.762376237623762</v>
      </c>
      <c r="Q16">
        <v>0</v>
      </c>
      <c r="R16">
        <v>0</v>
      </c>
      <c r="S16">
        <v>0</v>
      </c>
      <c r="T16">
        <v>2.9702970297029703</v>
      </c>
      <c r="U16">
        <v>0</v>
      </c>
      <c r="V16">
        <v>2.9702970297029703</v>
      </c>
      <c r="W16">
        <v>0</v>
      </c>
      <c r="X16">
        <v>0</v>
      </c>
      <c r="Y16">
        <v>0</v>
      </c>
      <c r="Z16">
        <v>0</v>
      </c>
      <c r="AA16">
        <v>0</v>
      </c>
      <c r="AB16">
        <v>0.99009900990099009</v>
      </c>
      <c r="AC16">
        <v>0</v>
      </c>
      <c r="AD1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57E0B55818864CACEF86066053E67A" ma:contentTypeVersion="3" ma:contentTypeDescription="Create a new document." ma:contentTypeScope="" ma:versionID="928e03b4fcdd45d1206804926206ace8">
  <xsd:schema xmlns:xsd="http://www.w3.org/2001/XMLSchema" xmlns:xs="http://www.w3.org/2001/XMLSchema" xmlns:p="http://schemas.microsoft.com/office/2006/metadata/properties" xmlns:ns2="4f3e21ca-dfc1-494f-927d-9f3844b1e888" targetNamespace="http://schemas.microsoft.com/office/2006/metadata/properties" ma:root="true" ma:fieldsID="1673626d1eef723d4671b16c0c3b8036" ns2:_="">
    <xsd:import namespace="4f3e21ca-dfc1-494f-927d-9f3844b1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3e21ca-dfc1-494f-927d-9f3844b1e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1EAF98-671F-4FD2-99AE-D042BD1A87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3e21ca-dfc1-494f-927d-9f3844b1e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3141C2-41AE-4380-8484-6C12EA3371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678EF1-F2EF-4285-BF1A-6515FB1FDFE1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4f3e21ca-dfc1-494f-927d-9f3844b1e88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Processing info</vt:lpstr>
      <vt:lpstr>Raw wicklow09 data</vt:lpstr>
      <vt:lpstr>clean wicklow09 data</vt:lpstr>
      <vt:lpstr>clean wicklow090 data (Ordered)</vt:lpstr>
      <vt:lpstr>Wicklow09 percentages</vt:lpstr>
      <vt:lpstr>Wicklow09 clean (Grouped)</vt:lpstr>
      <vt:lpstr>Amesbury table 2 sheet</vt:lpstr>
      <vt:lpstr>Wicklow % rioja transposed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 EDGAR PATRICK RYAN</dc:creator>
  <cp:keywords/>
  <dc:description/>
  <cp:lastModifiedBy>WILL EDGAR PATRICK RYAN</cp:lastModifiedBy>
  <cp:revision/>
  <dcterms:created xsi:type="dcterms:W3CDTF">2026-04-01T10:21:28Z</dcterms:created>
  <dcterms:modified xsi:type="dcterms:W3CDTF">2026-06-23T12:15:46Z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0x0101000F57E0B55818864CACEF86066053E67A</vt:lpwstr>
  </property>
</Properties>
</file>