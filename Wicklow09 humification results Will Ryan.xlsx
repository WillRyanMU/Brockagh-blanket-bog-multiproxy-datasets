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ynoothuniversity-my.sharepoint.com/personal/will_ryan_2026_mumail_ie/Documents/GY664[A] — Palaeoclimate/TA Amesbury Transfer Function Sup Info/"/>
    </mc:Choice>
  </mc:AlternateContent>
  <xr:revisionPtr revIDLastSave="188" documentId="8_{EECAEF38-4654-0343-A970-3FB8682A986B}" xr6:coauthVersionLast="47" xr6:coauthVersionMax="47" xr10:uidLastSave="{FBC627F5-2290-4B17-ACE1-4D43947FC521}"/>
  <bookViews>
    <workbookView xWindow="-120" yWindow="-120" windowWidth="29040" windowHeight="15720" activeTab="2" xr2:uid="{2F45D0D9-3E55-47F7-940E-A551C2234AF4}"/>
  </bookViews>
  <sheets>
    <sheet name="raw humification results" sheetId="1" r:id="rId1"/>
    <sheet name="processed humification results" sheetId="2" r:id="rId2"/>
    <sheet name="code format 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23" i="3"/>
  <c r="C24" i="3"/>
  <c r="C25" i="3"/>
  <c r="C26" i="3"/>
  <c r="C27" i="3"/>
  <c r="C28" i="3"/>
  <c r="C29" i="3"/>
  <c r="C30" i="3"/>
  <c r="C31" i="3"/>
  <c r="C21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5" i="3"/>
  <c r="C6" i="3"/>
  <c r="C7" i="3"/>
  <c r="C4" i="3"/>
  <c r="C3" i="3"/>
  <c r="C2" i="3"/>
  <c r="J101" i="2"/>
  <c r="J98" i="2"/>
  <c r="J95" i="2"/>
  <c r="J92" i="2"/>
  <c r="J89" i="2"/>
  <c r="J86" i="2"/>
  <c r="J83" i="2"/>
  <c r="J80" i="2"/>
  <c r="J77" i="2"/>
  <c r="J74" i="2"/>
  <c r="J71" i="2"/>
  <c r="J66" i="2"/>
  <c r="J63" i="2"/>
  <c r="J60" i="2"/>
  <c r="J57" i="2"/>
  <c r="J54" i="2"/>
  <c r="J51" i="2"/>
  <c r="J48" i="2"/>
  <c r="J45" i="2"/>
  <c r="J42" i="2"/>
  <c r="J39" i="2"/>
  <c r="J36" i="2"/>
  <c r="J29" i="2"/>
  <c r="J26" i="2"/>
  <c r="J23" i="2"/>
  <c r="J20" i="2"/>
  <c r="J17" i="2"/>
  <c r="J14" i="2"/>
  <c r="J11" i="2"/>
  <c r="J8" i="2"/>
  <c r="K101" i="2"/>
  <c r="I101" i="2"/>
  <c r="K98" i="2"/>
  <c r="I98" i="2"/>
  <c r="K95" i="2"/>
  <c r="I95" i="2"/>
  <c r="K92" i="2"/>
  <c r="I92" i="2"/>
  <c r="K89" i="2"/>
  <c r="I89" i="2"/>
  <c r="K86" i="2"/>
  <c r="I86" i="2"/>
  <c r="K83" i="2"/>
  <c r="I83" i="2"/>
  <c r="K80" i="2"/>
  <c r="I80" i="2"/>
  <c r="K77" i="2"/>
  <c r="I77" i="2"/>
  <c r="K74" i="2"/>
  <c r="I74" i="2"/>
  <c r="I71" i="2"/>
  <c r="K71" i="2"/>
  <c r="K66" i="2"/>
  <c r="I66" i="2"/>
  <c r="K63" i="2"/>
  <c r="I63" i="2"/>
  <c r="K60" i="2"/>
  <c r="I60" i="2"/>
  <c r="K57" i="2"/>
  <c r="I57" i="2"/>
  <c r="K54" i="2"/>
  <c r="I54" i="2"/>
  <c r="K51" i="2"/>
  <c r="I51" i="2"/>
  <c r="K48" i="2"/>
  <c r="I48" i="2"/>
  <c r="K45" i="2"/>
  <c r="I45" i="2"/>
  <c r="K42" i="2"/>
  <c r="I42" i="2"/>
  <c r="K39" i="2"/>
  <c r="I39" i="2"/>
  <c r="K36" i="2"/>
  <c r="I36" i="2"/>
  <c r="K29" i="2"/>
  <c r="I29" i="2"/>
  <c r="K26" i="2"/>
  <c r="I26" i="2"/>
  <c r="K23" i="2"/>
  <c r="I23" i="2"/>
  <c r="K20" i="2"/>
  <c r="I20" i="2"/>
  <c r="K17" i="2"/>
  <c r="I17" i="2"/>
  <c r="I14" i="2"/>
  <c r="K14" i="2"/>
  <c r="I11" i="2"/>
  <c r="K11" i="2"/>
  <c r="I8" i="2"/>
  <c r="K8" i="2"/>
</calcChain>
</file>

<file path=xl/sharedStrings.xml><?xml version="1.0" encoding="utf-8"?>
<sst xmlns="http://schemas.openxmlformats.org/spreadsheetml/2006/main" count="686" uniqueCount="266">
  <si>
    <t>Sample Name</t>
  </si>
  <si>
    <t>Sample ID</t>
  </si>
  <si>
    <t>Option</t>
  </si>
  <si>
    <t>Type</t>
  </si>
  <si>
    <t>Ex</t>
  </si>
  <si>
    <t>WL540.0</t>
  </si>
  <si>
    <t>Comments</t>
  </si>
  <si>
    <t>Blank 1</t>
  </si>
  <si>
    <t>Control</t>
  </si>
  <si>
    <t>UNK</t>
  </si>
  <si>
    <t>Blank 2</t>
  </si>
  <si>
    <t xml:space="preserve">Control </t>
  </si>
  <si>
    <t>Blank 3</t>
  </si>
  <si>
    <t>Blank 4</t>
  </si>
  <si>
    <t>Wicklow_09_3-5cm_1</t>
  </si>
  <si>
    <t>F2_3-5cm_1</t>
  </si>
  <si>
    <t>Wicklow_09_3-5cm_2</t>
  </si>
  <si>
    <t>F2_3-5cm_2</t>
  </si>
  <si>
    <t>Wicklow_09_3-5cm_3</t>
  </si>
  <si>
    <t>F2_3-5cm_3</t>
  </si>
  <si>
    <t>Wicklow_09_8-10cm_1</t>
  </si>
  <si>
    <t>F3_8-10cm_1</t>
  </si>
  <si>
    <t>Wicklow_09_8-10cm_2</t>
  </si>
  <si>
    <t>F3_8-10cm_2</t>
  </si>
  <si>
    <t>Wicklow_09_8-10cm_3</t>
  </si>
  <si>
    <t>F3_8-10cm_3</t>
  </si>
  <si>
    <t>Wicklow_09_13-15cm_1</t>
  </si>
  <si>
    <t>F4_13-15cm_1</t>
  </si>
  <si>
    <t>Wicklow_09_13-15cm_2</t>
  </si>
  <si>
    <t>F4_13-15cm_2</t>
  </si>
  <si>
    <t>Wicklow_09_13-15cm_3</t>
  </si>
  <si>
    <t>F4_13-15cm_3</t>
  </si>
  <si>
    <t>Wicklow_09_18-20cm_1</t>
  </si>
  <si>
    <t>F5_18-20cm_1</t>
  </si>
  <si>
    <t>Wicklow_09_18-20cm_2</t>
  </si>
  <si>
    <t>F5_18-20cm_2</t>
  </si>
  <si>
    <t>Wicklow_09_18-20cm_3</t>
  </si>
  <si>
    <t>F5_18-20cm_3</t>
  </si>
  <si>
    <t>Wicklow_09_23-25cm_1</t>
  </si>
  <si>
    <t>F6_23-25cm_1</t>
  </si>
  <si>
    <t>Wicklow_09_23-25cm_2</t>
  </si>
  <si>
    <t>F6_23-25cm_2</t>
  </si>
  <si>
    <t>Wicklow_09_23-25cm_3</t>
  </si>
  <si>
    <t>F6_23-25cm_3</t>
  </si>
  <si>
    <t>Wicklow_09_28-30cm_1</t>
  </si>
  <si>
    <t>F7_28-30cm_1</t>
  </si>
  <si>
    <t>Wicklow_09_28-30cm_2</t>
  </si>
  <si>
    <t>F7_28-30cm_2</t>
  </si>
  <si>
    <t>Wicklow_09_28-30cm_3</t>
  </si>
  <si>
    <t>F7_28-30cm_3</t>
  </si>
  <si>
    <t>Wicklow_09_33-35cm_1</t>
  </si>
  <si>
    <t>F8_33-35cm_1</t>
  </si>
  <si>
    <t>Wicklow_09_33-35cm_2</t>
  </si>
  <si>
    <t>F8_33-35cm_2</t>
  </si>
  <si>
    <t>Wicklow_09_33-35cm_3</t>
  </si>
  <si>
    <t>F8_33-35cm_3</t>
  </si>
  <si>
    <t>Wicklow_09_38-40cm_1</t>
  </si>
  <si>
    <t>F9_38-40cm_1</t>
  </si>
  <si>
    <t>Wicklow_09_38-40cm_2</t>
  </si>
  <si>
    <t>F9_38-40cm_2</t>
  </si>
  <si>
    <t>Wicklow_09_38-40cm_3</t>
  </si>
  <si>
    <t>F9_38-40cm_3</t>
  </si>
  <si>
    <t>Control 2.1</t>
  </si>
  <si>
    <t>Control 2.2</t>
  </si>
  <si>
    <t>Control 2.3</t>
  </si>
  <si>
    <t>Control 2.4</t>
  </si>
  <si>
    <t>Wicklow_09_43-45cm_1</t>
  </si>
  <si>
    <t>F1_43-45cm_1</t>
  </si>
  <si>
    <t>Wicklow_09_43-45cm_2</t>
  </si>
  <si>
    <t>F1_43-45cm_2</t>
  </si>
  <si>
    <t>Wicklow_09_43-45cm_3</t>
  </si>
  <si>
    <t>F1_43-45cm_3</t>
  </si>
  <si>
    <t>Wicklow_09_50-52cm_1</t>
  </si>
  <si>
    <t>F2_50-52cm_1</t>
  </si>
  <si>
    <t>Wicklow_09_50-52cm_2</t>
  </si>
  <si>
    <t>F2_50-52cm_2</t>
  </si>
  <si>
    <t>Wicklow_09_50-52cm_3</t>
  </si>
  <si>
    <t>F2_50-52cm_3</t>
  </si>
  <si>
    <t>Wicklow_09_53-55cm_1</t>
  </si>
  <si>
    <t>F3_53-55cm_1</t>
  </si>
  <si>
    <t>Wicklow_09_53-55cm_2</t>
  </si>
  <si>
    <t>F3_53-55cm_2</t>
  </si>
  <si>
    <t>Wicklow_09_53-55cm_3</t>
  </si>
  <si>
    <t>F3_53-55cm_3</t>
  </si>
  <si>
    <t>Wicklow_09_58-60cm_1</t>
  </si>
  <si>
    <t>F4_58-60cm_1</t>
  </si>
  <si>
    <t>Wicklow_09_58-60cm_2</t>
  </si>
  <si>
    <t>F4_58-60cm_2</t>
  </si>
  <si>
    <t>Wicklow_09_58-60cm_3</t>
  </si>
  <si>
    <t>F4_58-60cm_3</t>
  </si>
  <si>
    <t>Wicklow_09_63-65cm_1</t>
  </si>
  <si>
    <t>F5_63-65cm_1</t>
  </si>
  <si>
    <t>Wicklow_09_63-65cm_2</t>
  </si>
  <si>
    <t>F5_63-65cm_2</t>
  </si>
  <si>
    <t>Wicklow_09_63-65cm_3</t>
  </si>
  <si>
    <t>F5_63-65cm_3</t>
  </si>
  <si>
    <t>Wicklow_09_68-70cm_1</t>
  </si>
  <si>
    <t>F6_68-70cm_1</t>
  </si>
  <si>
    <t>Wicklow_09_68-70cm_2</t>
  </si>
  <si>
    <t>F6_68-70cm_2</t>
  </si>
  <si>
    <t>Wicklow_09_68-70cm_3</t>
  </si>
  <si>
    <t>F6_68-70cm_3</t>
  </si>
  <si>
    <t>Wicklow_09_73-75cm_1</t>
  </si>
  <si>
    <t>F7_73-75cm_1</t>
  </si>
  <si>
    <t>Wicklow_09_73-75cm_2</t>
  </si>
  <si>
    <t>F7_73-75cm_2</t>
  </si>
  <si>
    <t>Wicklow_09_73-75cm_3</t>
  </si>
  <si>
    <t>F7_73-75cm_3</t>
  </si>
  <si>
    <t>Wicklow_09_78-80cm_1</t>
  </si>
  <si>
    <t>F8_78-80cm_1</t>
  </si>
  <si>
    <t>Wicklow_09_78-80cm_2</t>
  </si>
  <si>
    <t>F8_78-80cm_2</t>
  </si>
  <si>
    <t>Wicklow_09_78-80cm_3</t>
  </si>
  <si>
    <t>F8_78-80cm_3</t>
  </si>
  <si>
    <t>Wicklow_09_83-85cm_1</t>
  </si>
  <si>
    <t>F9_83-85cm_1</t>
  </si>
  <si>
    <t>Wicklow_09_83-85cm_2</t>
  </si>
  <si>
    <t>F9_83-85cm_2</t>
  </si>
  <si>
    <t>Wicklow_09_83-85cm_3</t>
  </si>
  <si>
    <t>F9_83-85cm_3</t>
  </si>
  <si>
    <t>Wicklow_09_88-90cm_1</t>
  </si>
  <si>
    <t>F10_88-90cm_1</t>
  </si>
  <si>
    <t>Wicklow_09_88-90cm_2</t>
  </si>
  <si>
    <t>F10_88-90cm_2</t>
  </si>
  <si>
    <t>Wicklow_09_88-90cm_3</t>
  </si>
  <si>
    <t>F10_88-90cm_3</t>
  </si>
  <si>
    <t>Wicklow_09_93-95_1</t>
  </si>
  <si>
    <t>F11_93-95cm_1</t>
  </si>
  <si>
    <t>Wicklow_09_93-95_2</t>
  </si>
  <si>
    <t>F11_93-95cm_2</t>
  </si>
  <si>
    <t>Wicklow_09_93-95_3</t>
  </si>
  <si>
    <t>F11_93-95cm_3</t>
  </si>
  <si>
    <t xml:space="preserve">Blank 2 </t>
  </si>
  <si>
    <t>Wicklow_09_100-102cm_1</t>
  </si>
  <si>
    <t>F1_100-102cm_1</t>
  </si>
  <si>
    <t>Wicklow_09_100-102cm_2</t>
  </si>
  <si>
    <t>F1_100-102cm_2</t>
  </si>
  <si>
    <t>Wicklow_09_100-102cm_3</t>
  </si>
  <si>
    <t>F1_100-102cm_3</t>
  </si>
  <si>
    <t>Wicklow_09_103-105cm_1</t>
  </si>
  <si>
    <t>F2_103-105cm_1</t>
  </si>
  <si>
    <t>Wicklow_09_103-105cm_2</t>
  </si>
  <si>
    <t>F2_103-105cm_2</t>
  </si>
  <si>
    <t>Wicklow_09_103-105cm_3</t>
  </si>
  <si>
    <t>F2_103-105cm_3</t>
  </si>
  <si>
    <t>Wicklow_09_108-110cm_1</t>
  </si>
  <si>
    <t>F3_108-110cm_1</t>
  </si>
  <si>
    <t>Wicklow_09_108-110cm_2</t>
  </si>
  <si>
    <t>F3_108-110cm_2</t>
  </si>
  <si>
    <t>Wicklow_09_108-110cm_3</t>
  </si>
  <si>
    <t>F3_108-110cm_3</t>
  </si>
  <si>
    <t>Wicklow_09_113-115cm_1</t>
  </si>
  <si>
    <t>F4_113-115cm_1</t>
  </si>
  <si>
    <t>Wicklow_09_113-115cm_2</t>
  </si>
  <si>
    <t>F4_113-115cm_2</t>
  </si>
  <si>
    <t>Wicklow_09_113-115cm_3</t>
  </si>
  <si>
    <t>F4_113-115cm_3</t>
  </si>
  <si>
    <t>Wicklow_09_118-120cm_1</t>
  </si>
  <si>
    <t>F5_118-120cm_1</t>
  </si>
  <si>
    <t>Wicklow_09_118-120cm_2</t>
  </si>
  <si>
    <t>F5_118-120cm_2</t>
  </si>
  <si>
    <t>Wicklow_09_118-120cm_3</t>
  </si>
  <si>
    <t>F5_118-120cm_3</t>
  </si>
  <si>
    <t>Wicklow_09_123-125cm_1</t>
  </si>
  <si>
    <t>F6_123-125cm_1</t>
  </si>
  <si>
    <t>Wicklow_09_123-125cm_2</t>
  </si>
  <si>
    <t>F6_123-125cm_2</t>
  </si>
  <si>
    <t>Wicklow_09_123-125cm_3</t>
  </si>
  <si>
    <t>F6_123-125cm_3</t>
  </si>
  <si>
    <t>Wicklow_09_128-130cm_1</t>
  </si>
  <si>
    <t>F7_128-130cm_1</t>
  </si>
  <si>
    <t>Wicklow_09_128-130cm_2</t>
  </si>
  <si>
    <t>F7_128-130cm_2</t>
  </si>
  <si>
    <t>Wicklow_09_128-130cm_3</t>
  </si>
  <si>
    <t>F7_128-130cm_3</t>
  </si>
  <si>
    <t>Wicklow_09_133-135cm_1</t>
  </si>
  <si>
    <t>F8_133-135cm_1</t>
  </si>
  <si>
    <t>Wicklow_09_133-135cm_2</t>
  </si>
  <si>
    <t>F8_133-135cm_2</t>
  </si>
  <si>
    <t>Wicklow_09_133-135cm_3</t>
  </si>
  <si>
    <t>F8_133-135cm_3</t>
  </si>
  <si>
    <t>Wicklow_09_138-140cm_1</t>
  </si>
  <si>
    <t>F9_138-140cm_1</t>
  </si>
  <si>
    <t>Wicklow_09_138-140cm_2</t>
  </si>
  <si>
    <t>F9_138-140cm_2</t>
  </si>
  <si>
    <t>Wicklow_09_138-140cm_3</t>
  </si>
  <si>
    <t>F9_138-140cm_3</t>
  </si>
  <si>
    <t>Wicklow_09_143-145cm_1</t>
  </si>
  <si>
    <t>F10_143-145cm_1</t>
  </si>
  <si>
    <t>Wicklow_09_143-145cm_2</t>
  </si>
  <si>
    <t>F10_143-145cm_2</t>
  </si>
  <si>
    <t>Wicklow_09_143-145cm_3</t>
  </si>
  <si>
    <t>F10_143-145cm_3</t>
  </si>
  <si>
    <t>Wicklow_09_148-150cm_1</t>
  </si>
  <si>
    <t>F11_148-150cm_1</t>
  </si>
  <si>
    <t>Wicklow_09_148-150cm_2</t>
  </si>
  <si>
    <t>F11_148-150cm_2</t>
  </si>
  <si>
    <t>Left lid open -delete</t>
  </si>
  <si>
    <t>Wicklow_09_148-150cm_3</t>
  </si>
  <si>
    <t>F11_148-150cm_3</t>
  </si>
  <si>
    <t xml:space="preserve">Averaged </t>
  </si>
  <si>
    <t>Wicklow_09_93-95cm_1</t>
  </si>
  <si>
    <t>Wicklow_09_93-95cm_2</t>
  </si>
  <si>
    <t>Wicklow_09_93-95cm_3</t>
  </si>
  <si>
    <t>Depth</t>
  </si>
  <si>
    <t>Wicklow_09_3-5cm</t>
  </si>
  <si>
    <t>3-5cm</t>
  </si>
  <si>
    <t>Wicklow_09_8-10cm</t>
  </si>
  <si>
    <t>8-10cm</t>
  </si>
  <si>
    <t>Wicklow_09_13-15cm</t>
  </si>
  <si>
    <t>13-15cm</t>
  </si>
  <si>
    <t>Wicklow_09_18-20cm</t>
  </si>
  <si>
    <t>18-20cm</t>
  </si>
  <si>
    <t>Wicklow_09_23-25cm</t>
  </si>
  <si>
    <t>23-25cm</t>
  </si>
  <si>
    <t>Wicklow_09_28-30cm</t>
  </si>
  <si>
    <t>28-30cm</t>
  </si>
  <si>
    <t>Wicklow_09_33-35cm</t>
  </si>
  <si>
    <t>33-35cm</t>
  </si>
  <si>
    <t>Wicklow_09_38-40cm</t>
  </si>
  <si>
    <t>38-40cm</t>
  </si>
  <si>
    <t>Wicklow_09_43-45cm</t>
  </si>
  <si>
    <t>43-45cm</t>
  </si>
  <si>
    <t>Wicklow_09_50-52cm</t>
  </si>
  <si>
    <t>50-52cm</t>
  </si>
  <si>
    <t>Wicklow_09_53-55cm</t>
  </si>
  <si>
    <t>53-55cm</t>
  </si>
  <si>
    <t>Wicklow_09_58-60cm</t>
  </si>
  <si>
    <t>58-60cm</t>
  </si>
  <si>
    <t>Wicklow_09_63-65cm</t>
  </si>
  <si>
    <t>63-65cm</t>
  </si>
  <si>
    <t>Wicklow_09_68-70cm</t>
  </si>
  <si>
    <t>68-70cm</t>
  </si>
  <si>
    <t>Wicklow_09_73-75cm</t>
  </si>
  <si>
    <t>73-75cm</t>
  </si>
  <si>
    <t>Wicklow_09_78-80cm</t>
  </si>
  <si>
    <t>78-80cm</t>
  </si>
  <si>
    <t>Wicklow_09_83-85cm</t>
  </si>
  <si>
    <t>83-85cm</t>
  </si>
  <si>
    <t>Wicklow_09_88-90cm</t>
  </si>
  <si>
    <t>88-90cm</t>
  </si>
  <si>
    <t>Wicklow_09_93-95cm</t>
  </si>
  <si>
    <t>93-95cm</t>
  </si>
  <si>
    <t>Wicklow_09_100-102cm</t>
  </si>
  <si>
    <t>100-102cm</t>
  </si>
  <si>
    <t>Wicklow_09_103-105cm</t>
  </si>
  <si>
    <t>103-105cm</t>
  </si>
  <si>
    <t>Wicklow_09_108-110cm</t>
  </si>
  <si>
    <t>108-110cm</t>
  </si>
  <si>
    <t>Wicklow_09_113-115cm</t>
  </si>
  <si>
    <t>113-115cm</t>
  </si>
  <si>
    <t>Wicklow_09_118-120cm</t>
  </si>
  <si>
    <t>118-120cm</t>
  </si>
  <si>
    <t>Wicklow_09_123-125cm</t>
  </si>
  <si>
    <t>123-125cm</t>
  </si>
  <si>
    <t>Wicklow_09_128-130cm</t>
  </si>
  <si>
    <t>128-130cm</t>
  </si>
  <si>
    <t>Wicklow_09_133-135cm</t>
  </si>
  <si>
    <t>133-135cm</t>
  </si>
  <si>
    <t>Wicklow_09_138-140cm</t>
  </si>
  <si>
    <t>138-140cm</t>
  </si>
  <si>
    <t>Wicklow_09_143-145cm</t>
  </si>
  <si>
    <t>143-145cm</t>
  </si>
  <si>
    <t>Wicklow_09_148-150cm</t>
  </si>
  <si>
    <t>148-150cm</t>
  </si>
  <si>
    <t>Top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</si>
</sst>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D161-8589-48C7-8168-F428A73AED27}">
  <dimension ref="A1:H102"/>
  <sheetViews>
    <sheetView workbookViewId="0">
      <selection activeCell="K10" sqref="K10"/>
    </sheetView>
  </sheetViews>
  <sheetFormatPr defaultColWidth="8.85546875"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t="s">
        <v>7</v>
      </c>
      <c r="C2" t="s">
        <v>8</v>
      </c>
      <c r="E2" t="s">
        <v>9</v>
      </c>
      <c r="G2">
        <v>-4.0000000000000003E-5</v>
      </c>
    </row>
    <row r="3" spans="1:8" x14ac:dyDescent="0.25">
      <c r="A3">
        <v>2</v>
      </c>
      <c r="B3" t="s">
        <v>10</v>
      </c>
      <c r="C3" t="s">
        <v>11</v>
      </c>
      <c r="E3" t="s">
        <v>9</v>
      </c>
      <c r="G3">
        <v>-1.8000000000000001E-4</v>
      </c>
    </row>
    <row r="4" spans="1:8" x14ac:dyDescent="0.25">
      <c r="A4">
        <v>3</v>
      </c>
      <c r="B4" t="s">
        <v>12</v>
      </c>
      <c r="C4" t="s">
        <v>8</v>
      </c>
      <c r="E4" t="s">
        <v>9</v>
      </c>
      <c r="G4">
        <v>-1.0000000000000001E-5</v>
      </c>
    </row>
    <row r="5" spans="1:8" x14ac:dyDescent="0.25">
      <c r="A5">
        <v>4</v>
      </c>
      <c r="B5" t="s">
        <v>13</v>
      </c>
      <c r="C5" t="s">
        <v>8</v>
      </c>
      <c r="E5" t="s">
        <v>9</v>
      </c>
      <c r="G5">
        <v>-3.0000000000000001E-5</v>
      </c>
    </row>
    <row r="6" spans="1:8" x14ac:dyDescent="0.25">
      <c r="A6">
        <v>5</v>
      </c>
      <c r="B6" t="s">
        <v>14</v>
      </c>
      <c r="C6" t="s">
        <v>15</v>
      </c>
      <c r="E6" t="s">
        <v>9</v>
      </c>
      <c r="G6">
        <v>0.26906000000000002</v>
      </c>
    </row>
    <row r="7" spans="1:8" x14ac:dyDescent="0.25">
      <c r="A7">
        <v>6</v>
      </c>
      <c r="B7" t="s">
        <v>16</v>
      </c>
      <c r="C7" t="s">
        <v>17</v>
      </c>
      <c r="E7" t="s">
        <v>9</v>
      </c>
      <c r="G7">
        <v>0.26930999999999999</v>
      </c>
    </row>
    <row r="8" spans="1:8" x14ac:dyDescent="0.25">
      <c r="A8">
        <v>7</v>
      </c>
      <c r="B8" t="s">
        <v>18</v>
      </c>
      <c r="C8" t="s">
        <v>19</v>
      </c>
      <c r="E8" t="s">
        <v>9</v>
      </c>
      <c r="G8">
        <v>0.26704</v>
      </c>
    </row>
    <row r="9" spans="1:8" x14ac:dyDescent="0.25">
      <c r="A9">
        <v>8</v>
      </c>
      <c r="B9" t="s">
        <v>20</v>
      </c>
      <c r="C9" t="s">
        <v>21</v>
      </c>
      <c r="E9" t="s">
        <v>9</v>
      </c>
      <c r="G9">
        <v>0.36685000000000001</v>
      </c>
    </row>
    <row r="10" spans="1:8" x14ac:dyDescent="0.25">
      <c r="A10">
        <v>9</v>
      </c>
      <c r="B10" t="s">
        <v>22</v>
      </c>
      <c r="C10" t="s">
        <v>23</v>
      </c>
      <c r="E10" t="s">
        <v>9</v>
      </c>
      <c r="G10">
        <v>0.36651</v>
      </c>
    </row>
    <row r="11" spans="1:8" x14ac:dyDescent="0.25">
      <c r="A11">
        <v>10</v>
      </c>
      <c r="B11" t="s">
        <v>24</v>
      </c>
      <c r="C11" t="s">
        <v>25</v>
      </c>
      <c r="E11" t="s">
        <v>9</v>
      </c>
      <c r="G11">
        <v>0.36649999999999999</v>
      </c>
    </row>
    <row r="12" spans="1:8" x14ac:dyDescent="0.25">
      <c r="A12">
        <v>11</v>
      </c>
      <c r="B12" t="s">
        <v>26</v>
      </c>
      <c r="C12" t="s">
        <v>27</v>
      </c>
      <c r="E12" t="s">
        <v>9</v>
      </c>
      <c r="G12">
        <v>0.36231999999999998</v>
      </c>
    </row>
    <row r="13" spans="1:8" x14ac:dyDescent="0.25">
      <c r="A13">
        <v>12</v>
      </c>
      <c r="B13" t="s">
        <v>28</v>
      </c>
      <c r="C13" t="s">
        <v>29</v>
      </c>
      <c r="E13" t="s">
        <v>9</v>
      </c>
      <c r="G13">
        <v>0.36619000000000002</v>
      </c>
    </row>
    <row r="14" spans="1:8" x14ac:dyDescent="0.25">
      <c r="A14">
        <v>13</v>
      </c>
      <c r="B14" t="s">
        <v>30</v>
      </c>
      <c r="C14" t="s">
        <v>31</v>
      </c>
      <c r="E14" t="s">
        <v>9</v>
      </c>
      <c r="G14">
        <v>0.3619</v>
      </c>
    </row>
    <row r="15" spans="1:8" x14ac:dyDescent="0.25">
      <c r="A15">
        <v>14</v>
      </c>
      <c r="B15" t="s">
        <v>32</v>
      </c>
      <c r="C15" t="s">
        <v>33</v>
      </c>
      <c r="E15" t="s">
        <v>9</v>
      </c>
      <c r="G15">
        <v>0.34373999999999999</v>
      </c>
    </row>
    <row r="16" spans="1:8" x14ac:dyDescent="0.25">
      <c r="A16">
        <v>15</v>
      </c>
      <c r="B16" t="s">
        <v>34</v>
      </c>
      <c r="C16" t="s">
        <v>35</v>
      </c>
      <c r="E16" t="s">
        <v>9</v>
      </c>
      <c r="G16">
        <v>0.34505000000000002</v>
      </c>
    </row>
    <row r="17" spans="1:7" x14ac:dyDescent="0.25">
      <c r="A17">
        <v>16</v>
      </c>
      <c r="B17" t="s">
        <v>36</v>
      </c>
      <c r="C17" t="s">
        <v>37</v>
      </c>
      <c r="E17" t="s">
        <v>9</v>
      </c>
      <c r="G17">
        <v>0.34698000000000001</v>
      </c>
    </row>
    <row r="18" spans="1:7" x14ac:dyDescent="0.25">
      <c r="A18">
        <v>17</v>
      </c>
      <c r="B18" t="s">
        <v>38</v>
      </c>
      <c r="C18" t="s">
        <v>39</v>
      </c>
      <c r="E18" t="s">
        <v>9</v>
      </c>
      <c r="G18">
        <v>0.43865999999999999</v>
      </c>
    </row>
    <row r="19" spans="1:7" x14ac:dyDescent="0.25">
      <c r="A19">
        <v>18</v>
      </c>
      <c r="B19" t="s">
        <v>40</v>
      </c>
      <c r="C19" t="s">
        <v>41</v>
      </c>
      <c r="E19" t="s">
        <v>9</v>
      </c>
      <c r="G19">
        <v>0.43844</v>
      </c>
    </row>
    <row r="20" spans="1:7" x14ac:dyDescent="0.25">
      <c r="A20">
        <v>19</v>
      </c>
      <c r="B20" t="s">
        <v>42</v>
      </c>
      <c r="C20" t="s">
        <v>43</v>
      </c>
      <c r="E20" t="s">
        <v>9</v>
      </c>
      <c r="G20">
        <v>0.43970999999999999</v>
      </c>
    </row>
    <row r="21" spans="1:7" x14ac:dyDescent="0.25">
      <c r="A21">
        <v>20</v>
      </c>
      <c r="B21" t="s">
        <v>44</v>
      </c>
      <c r="C21" t="s">
        <v>45</v>
      </c>
      <c r="E21" t="s">
        <v>9</v>
      </c>
      <c r="G21">
        <v>0.44141000000000002</v>
      </c>
    </row>
    <row r="22" spans="1:7" x14ac:dyDescent="0.25">
      <c r="A22">
        <v>21</v>
      </c>
      <c r="B22" t="s">
        <v>46</v>
      </c>
      <c r="C22" t="s">
        <v>47</v>
      </c>
      <c r="E22" t="s">
        <v>9</v>
      </c>
      <c r="G22">
        <v>0.44381999999999999</v>
      </c>
    </row>
    <row r="23" spans="1:7" x14ac:dyDescent="0.25">
      <c r="A23">
        <v>22</v>
      </c>
      <c r="B23" t="s">
        <v>48</v>
      </c>
      <c r="C23" t="s">
        <v>49</v>
      </c>
      <c r="E23" t="s">
        <v>9</v>
      </c>
      <c r="G23">
        <v>0.44081999999999999</v>
      </c>
    </row>
    <row r="24" spans="1:7" x14ac:dyDescent="0.25">
      <c r="A24">
        <v>23</v>
      </c>
      <c r="B24" t="s">
        <v>50</v>
      </c>
      <c r="C24" t="s">
        <v>51</v>
      </c>
      <c r="E24" t="s">
        <v>9</v>
      </c>
      <c r="G24">
        <v>0.43363000000000002</v>
      </c>
    </row>
    <row r="25" spans="1:7" x14ac:dyDescent="0.25">
      <c r="A25">
        <v>24</v>
      </c>
      <c r="B25" t="s">
        <v>52</v>
      </c>
      <c r="C25" t="s">
        <v>53</v>
      </c>
      <c r="E25" t="s">
        <v>9</v>
      </c>
      <c r="G25">
        <v>0.43362000000000001</v>
      </c>
    </row>
    <row r="26" spans="1:7" x14ac:dyDescent="0.25">
      <c r="A26">
        <v>25</v>
      </c>
      <c r="B26" t="s">
        <v>54</v>
      </c>
      <c r="C26" t="s">
        <v>55</v>
      </c>
      <c r="E26" t="s">
        <v>9</v>
      </c>
      <c r="G26">
        <v>0.43359999999999999</v>
      </c>
    </row>
    <row r="27" spans="1:7" x14ac:dyDescent="0.25">
      <c r="A27">
        <v>26</v>
      </c>
      <c r="B27" t="s">
        <v>56</v>
      </c>
      <c r="C27" t="s">
        <v>57</v>
      </c>
      <c r="E27" t="s">
        <v>9</v>
      </c>
      <c r="G27">
        <v>0.40799999999999997</v>
      </c>
    </row>
    <row r="28" spans="1:7" x14ac:dyDescent="0.25">
      <c r="A28">
        <v>27</v>
      </c>
      <c r="B28" t="s">
        <v>58</v>
      </c>
      <c r="C28" t="s">
        <v>59</v>
      </c>
      <c r="E28" t="s">
        <v>9</v>
      </c>
      <c r="G28">
        <v>0.40499000000000002</v>
      </c>
    </row>
    <row r="29" spans="1:7" x14ac:dyDescent="0.25">
      <c r="A29">
        <v>28</v>
      </c>
      <c r="B29" t="s">
        <v>60</v>
      </c>
      <c r="C29" t="s">
        <v>61</v>
      </c>
      <c r="E29" t="s">
        <v>9</v>
      </c>
      <c r="G29">
        <v>0.40573999999999999</v>
      </c>
    </row>
    <row r="30" spans="1:7" x14ac:dyDescent="0.25">
      <c r="A30">
        <v>29</v>
      </c>
      <c r="B30" t="s">
        <v>7</v>
      </c>
      <c r="C30" t="s">
        <v>62</v>
      </c>
      <c r="E30" t="s">
        <v>9</v>
      </c>
      <c r="G30">
        <v>-5.0000000000000002E-5</v>
      </c>
    </row>
    <row r="31" spans="1:7" x14ac:dyDescent="0.25">
      <c r="A31">
        <v>30</v>
      </c>
      <c r="B31" t="s">
        <v>10</v>
      </c>
      <c r="C31" t="s">
        <v>63</v>
      </c>
      <c r="E31" t="s">
        <v>9</v>
      </c>
      <c r="G31">
        <v>7.5000000000000002E-4</v>
      </c>
    </row>
    <row r="32" spans="1:7" x14ac:dyDescent="0.25">
      <c r="A32">
        <v>31</v>
      </c>
      <c r="B32" t="s">
        <v>12</v>
      </c>
      <c r="C32" t="s">
        <v>64</v>
      </c>
      <c r="E32" t="s">
        <v>9</v>
      </c>
      <c r="G32">
        <v>-5.9999999999999995E-4</v>
      </c>
    </row>
    <row r="33" spans="1:7" x14ac:dyDescent="0.25">
      <c r="A33">
        <v>32</v>
      </c>
      <c r="B33" t="s">
        <v>13</v>
      </c>
      <c r="C33" t="s">
        <v>65</v>
      </c>
      <c r="E33" t="s">
        <v>9</v>
      </c>
      <c r="G33">
        <v>-8.4999999999999995E-4</v>
      </c>
    </row>
    <row r="34" spans="1:7" x14ac:dyDescent="0.25">
      <c r="A34">
        <v>33</v>
      </c>
      <c r="B34" t="s">
        <v>66</v>
      </c>
      <c r="C34" t="s">
        <v>67</v>
      </c>
      <c r="E34" t="s">
        <v>9</v>
      </c>
      <c r="G34">
        <v>0.45138</v>
      </c>
    </row>
    <row r="35" spans="1:7" x14ac:dyDescent="0.25">
      <c r="A35">
        <v>34</v>
      </c>
      <c r="B35" t="s">
        <v>68</v>
      </c>
      <c r="C35" t="s">
        <v>69</v>
      </c>
      <c r="E35" t="s">
        <v>9</v>
      </c>
      <c r="G35">
        <v>0.45133000000000001</v>
      </c>
    </row>
    <row r="36" spans="1:7" x14ac:dyDescent="0.25">
      <c r="A36">
        <v>35</v>
      </c>
      <c r="B36" t="s">
        <v>70</v>
      </c>
      <c r="C36" t="s">
        <v>71</v>
      </c>
      <c r="E36" t="s">
        <v>9</v>
      </c>
      <c r="G36">
        <v>0.45199</v>
      </c>
    </row>
    <row r="37" spans="1:7" x14ac:dyDescent="0.25">
      <c r="A37">
        <v>36</v>
      </c>
      <c r="B37" t="s">
        <v>72</v>
      </c>
      <c r="C37" t="s">
        <v>73</v>
      </c>
      <c r="E37" t="s">
        <v>9</v>
      </c>
      <c r="G37">
        <v>0.37525999999999998</v>
      </c>
    </row>
    <row r="38" spans="1:7" x14ac:dyDescent="0.25">
      <c r="A38">
        <v>37</v>
      </c>
      <c r="B38" t="s">
        <v>74</v>
      </c>
      <c r="C38" t="s">
        <v>75</v>
      </c>
      <c r="E38" t="s">
        <v>9</v>
      </c>
      <c r="G38">
        <v>0.37508999999999998</v>
      </c>
    </row>
    <row r="39" spans="1:7" x14ac:dyDescent="0.25">
      <c r="A39">
        <v>38</v>
      </c>
      <c r="B39" t="s">
        <v>76</v>
      </c>
      <c r="C39" t="s">
        <v>77</v>
      </c>
      <c r="E39" t="s">
        <v>9</v>
      </c>
      <c r="G39">
        <v>0.37403999999999998</v>
      </c>
    </row>
    <row r="40" spans="1:7" x14ac:dyDescent="0.25">
      <c r="A40">
        <v>39</v>
      </c>
      <c r="B40" t="s">
        <v>78</v>
      </c>
      <c r="C40" t="s">
        <v>79</v>
      </c>
      <c r="E40" t="s">
        <v>9</v>
      </c>
      <c r="G40">
        <v>0.37175999999999998</v>
      </c>
    </row>
    <row r="41" spans="1:7" x14ac:dyDescent="0.25">
      <c r="A41">
        <v>40</v>
      </c>
      <c r="B41" t="s">
        <v>80</v>
      </c>
      <c r="C41" t="s">
        <v>81</v>
      </c>
      <c r="E41" t="s">
        <v>9</v>
      </c>
      <c r="G41">
        <v>0.37141000000000002</v>
      </c>
    </row>
    <row r="42" spans="1:7" x14ac:dyDescent="0.25">
      <c r="A42">
        <v>41</v>
      </c>
      <c r="B42" t="s">
        <v>82</v>
      </c>
      <c r="C42" t="s">
        <v>83</v>
      </c>
      <c r="E42" t="s">
        <v>9</v>
      </c>
      <c r="G42">
        <v>0.37206</v>
      </c>
    </row>
    <row r="43" spans="1:7" x14ac:dyDescent="0.25">
      <c r="A43">
        <v>42</v>
      </c>
      <c r="B43" t="s">
        <v>84</v>
      </c>
      <c r="C43" t="s">
        <v>85</v>
      </c>
      <c r="E43" t="s">
        <v>9</v>
      </c>
      <c r="G43">
        <v>0.28776000000000002</v>
      </c>
    </row>
    <row r="44" spans="1:7" x14ac:dyDescent="0.25">
      <c r="A44">
        <v>43</v>
      </c>
      <c r="B44" t="s">
        <v>86</v>
      </c>
      <c r="C44" t="s">
        <v>87</v>
      </c>
      <c r="E44" t="s">
        <v>9</v>
      </c>
      <c r="G44">
        <v>0.28423999999999999</v>
      </c>
    </row>
    <row r="45" spans="1:7" x14ac:dyDescent="0.25">
      <c r="A45">
        <v>44</v>
      </c>
      <c r="B45" t="s">
        <v>88</v>
      </c>
      <c r="C45" t="s">
        <v>89</v>
      </c>
      <c r="E45" t="s">
        <v>9</v>
      </c>
      <c r="G45">
        <v>0.28373999999999999</v>
      </c>
    </row>
    <row r="46" spans="1:7" x14ac:dyDescent="0.25">
      <c r="A46">
        <v>45</v>
      </c>
      <c r="B46" t="s">
        <v>90</v>
      </c>
      <c r="C46" t="s">
        <v>91</v>
      </c>
      <c r="E46" t="s">
        <v>9</v>
      </c>
      <c r="G46">
        <v>0.30992999999999998</v>
      </c>
    </row>
    <row r="47" spans="1:7" x14ac:dyDescent="0.25">
      <c r="A47">
        <v>46</v>
      </c>
      <c r="B47" t="s">
        <v>92</v>
      </c>
      <c r="C47" t="s">
        <v>93</v>
      </c>
      <c r="E47" t="s">
        <v>9</v>
      </c>
      <c r="G47">
        <v>0.30751000000000001</v>
      </c>
    </row>
    <row r="48" spans="1:7" x14ac:dyDescent="0.25">
      <c r="A48">
        <v>47</v>
      </c>
      <c r="B48" t="s">
        <v>94</v>
      </c>
      <c r="C48" t="s">
        <v>95</v>
      </c>
      <c r="E48" t="s">
        <v>9</v>
      </c>
      <c r="G48">
        <v>0.30751000000000001</v>
      </c>
    </row>
    <row r="49" spans="1:7" x14ac:dyDescent="0.25">
      <c r="A49">
        <v>48</v>
      </c>
      <c r="B49" t="s">
        <v>96</v>
      </c>
      <c r="C49" t="s">
        <v>97</v>
      </c>
      <c r="E49" t="s">
        <v>9</v>
      </c>
      <c r="G49">
        <v>0.27662999999999999</v>
      </c>
    </row>
    <row r="50" spans="1:7" x14ac:dyDescent="0.25">
      <c r="A50">
        <v>49</v>
      </c>
      <c r="B50" t="s">
        <v>98</v>
      </c>
      <c r="C50" t="s">
        <v>99</v>
      </c>
      <c r="E50" t="s">
        <v>9</v>
      </c>
      <c r="G50">
        <v>0.27632000000000001</v>
      </c>
    </row>
    <row r="51" spans="1:7" x14ac:dyDescent="0.25">
      <c r="A51">
        <v>50</v>
      </c>
      <c r="B51" t="s">
        <v>100</v>
      </c>
      <c r="C51" t="s">
        <v>101</v>
      </c>
      <c r="E51" t="s">
        <v>9</v>
      </c>
      <c r="G51">
        <v>0.27661000000000002</v>
      </c>
    </row>
    <row r="52" spans="1:7" x14ac:dyDescent="0.25">
      <c r="A52">
        <v>51</v>
      </c>
      <c r="B52" t="s">
        <v>102</v>
      </c>
      <c r="C52" t="s">
        <v>103</v>
      </c>
      <c r="E52" t="s">
        <v>9</v>
      </c>
      <c r="G52">
        <v>0.34672999999999998</v>
      </c>
    </row>
    <row r="53" spans="1:7" x14ac:dyDescent="0.25">
      <c r="A53">
        <v>52</v>
      </c>
      <c r="B53" t="s">
        <v>104</v>
      </c>
      <c r="C53" t="s">
        <v>105</v>
      </c>
      <c r="E53" t="s">
        <v>9</v>
      </c>
      <c r="G53">
        <v>0.34705000000000003</v>
      </c>
    </row>
    <row r="54" spans="1:7" x14ac:dyDescent="0.25">
      <c r="A54">
        <v>53</v>
      </c>
      <c r="B54" t="s">
        <v>106</v>
      </c>
      <c r="C54" t="s">
        <v>107</v>
      </c>
      <c r="E54" t="s">
        <v>9</v>
      </c>
      <c r="G54">
        <v>0.34683000000000003</v>
      </c>
    </row>
    <row r="55" spans="1:7" x14ac:dyDescent="0.25">
      <c r="A55">
        <v>54</v>
      </c>
      <c r="B55" t="s">
        <v>108</v>
      </c>
      <c r="C55" t="s">
        <v>109</v>
      </c>
      <c r="E55" t="s">
        <v>9</v>
      </c>
      <c r="G55">
        <v>0.37490000000000001</v>
      </c>
    </row>
    <row r="56" spans="1:7" x14ac:dyDescent="0.25">
      <c r="A56">
        <v>55</v>
      </c>
      <c r="B56" t="s">
        <v>110</v>
      </c>
      <c r="C56" t="s">
        <v>111</v>
      </c>
      <c r="E56" t="s">
        <v>9</v>
      </c>
      <c r="G56">
        <v>0.37463000000000002</v>
      </c>
    </row>
    <row r="57" spans="1:7" x14ac:dyDescent="0.25">
      <c r="A57">
        <v>56</v>
      </c>
      <c r="B57" t="s">
        <v>112</v>
      </c>
      <c r="C57" t="s">
        <v>113</v>
      </c>
      <c r="E57" t="s">
        <v>9</v>
      </c>
      <c r="G57">
        <v>0.37446000000000002</v>
      </c>
    </row>
    <row r="58" spans="1:7" x14ac:dyDescent="0.25">
      <c r="A58">
        <v>57</v>
      </c>
      <c r="B58" t="s">
        <v>114</v>
      </c>
      <c r="C58" t="s">
        <v>115</v>
      </c>
      <c r="E58" t="s">
        <v>9</v>
      </c>
      <c r="G58">
        <v>0.42699999999999999</v>
      </c>
    </row>
    <row r="59" spans="1:7" x14ac:dyDescent="0.25">
      <c r="A59">
        <v>58</v>
      </c>
      <c r="B59" t="s">
        <v>116</v>
      </c>
      <c r="C59" t="s">
        <v>117</v>
      </c>
      <c r="E59" t="s">
        <v>9</v>
      </c>
      <c r="G59">
        <v>0.4264</v>
      </c>
    </row>
    <row r="60" spans="1:7" x14ac:dyDescent="0.25">
      <c r="A60">
        <v>59</v>
      </c>
      <c r="B60" t="s">
        <v>118</v>
      </c>
      <c r="C60" t="s">
        <v>119</v>
      </c>
      <c r="E60" t="s">
        <v>9</v>
      </c>
      <c r="G60">
        <v>0.42613000000000001</v>
      </c>
    </row>
    <row r="61" spans="1:7" x14ac:dyDescent="0.25">
      <c r="A61">
        <v>60</v>
      </c>
      <c r="B61" t="s">
        <v>120</v>
      </c>
      <c r="C61" t="s">
        <v>121</v>
      </c>
      <c r="E61" t="s">
        <v>9</v>
      </c>
      <c r="G61">
        <v>0.39591999999999999</v>
      </c>
    </row>
    <row r="62" spans="1:7" x14ac:dyDescent="0.25">
      <c r="A62">
        <v>61</v>
      </c>
      <c r="B62" t="s">
        <v>122</v>
      </c>
      <c r="C62" t="s">
        <v>123</v>
      </c>
      <c r="E62" t="s">
        <v>9</v>
      </c>
      <c r="G62">
        <v>0.39913999999999999</v>
      </c>
    </row>
    <row r="63" spans="1:7" x14ac:dyDescent="0.25">
      <c r="A63">
        <v>62</v>
      </c>
      <c r="B63" t="s">
        <v>124</v>
      </c>
      <c r="C63" t="s">
        <v>125</v>
      </c>
      <c r="E63" t="s">
        <v>9</v>
      </c>
      <c r="G63">
        <v>0.39551999999999998</v>
      </c>
    </row>
    <row r="64" spans="1:7" x14ac:dyDescent="0.25">
      <c r="A64">
        <v>63</v>
      </c>
      <c r="B64" t="s">
        <v>126</v>
      </c>
      <c r="C64" t="s">
        <v>127</v>
      </c>
      <c r="E64" t="s">
        <v>9</v>
      </c>
      <c r="G64">
        <v>0.38096000000000002</v>
      </c>
    </row>
    <row r="65" spans="1:7" x14ac:dyDescent="0.25">
      <c r="A65">
        <v>64</v>
      </c>
      <c r="B65" t="s">
        <v>128</v>
      </c>
      <c r="C65" t="s">
        <v>129</v>
      </c>
      <c r="E65" t="s">
        <v>9</v>
      </c>
      <c r="G65">
        <v>0.38052000000000002</v>
      </c>
    </row>
    <row r="66" spans="1:7" x14ac:dyDescent="0.25">
      <c r="A66">
        <v>65</v>
      </c>
      <c r="B66" t="s">
        <v>130</v>
      </c>
      <c r="C66" t="s">
        <v>131</v>
      </c>
      <c r="E66" t="s">
        <v>9</v>
      </c>
      <c r="G66">
        <v>0.37995000000000001</v>
      </c>
    </row>
    <row r="67" spans="1:7" x14ac:dyDescent="0.25">
      <c r="A67">
        <v>66</v>
      </c>
      <c r="B67" t="s">
        <v>7</v>
      </c>
      <c r="C67" t="s">
        <v>8</v>
      </c>
      <c r="E67" t="s">
        <v>9</v>
      </c>
      <c r="G67">
        <v>-3.0000000000000001E-5</v>
      </c>
    </row>
    <row r="68" spans="1:7" x14ac:dyDescent="0.25">
      <c r="A68">
        <v>67</v>
      </c>
      <c r="B68" t="s">
        <v>132</v>
      </c>
      <c r="C68" t="s">
        <v>8</v>
      </c>
      <c r="E68" t="s">
        <v>9</v>
      </c>
      <c r="G68">
        <v>2.0000000000000002E-5</v>
      </c>
    </row>
    <row r="69" spans="1:7" x14ac:dyDescent="0.25">
      <c r="A69">
        <v>68</v>
      </c>
      <c r="B69" t="s">
        <v>133</v>
      </c>
      <c r="C69" t="s">
        <v>134</v>
      </c>
      <c r="E69" t="s">
        <v>9</v>
      </c>
      <c r="G69">
        <v>0.45965</v>
      </c>
    </row>
    <row r="70" spans="1:7" x14ac:dyDescent="0.25">
      <c r="A70">
        <v>69</v>
      </c>
      <c r="B70" t="s">
        <v>135</v>
      </c>
      <c r="C70" t="s">
        <v>136</v>
      </c>
      <c r="E70" t="s">
        <v>9</v>
      </c>
      <c r="G70">
        <v>0.45987</v>
      </c>
    </row>
    <row r="71" spans="1:7" x14ac:dyDescent="0.25">
      <c r="A71">
        <v>70</v>
      </c>
      <c r="B71" t="s">
        <v>137</v>
      </c>
      <c r="C71" t="s">
        <v>138</v>
      </c>
      <c r="E71" t="s">
        <v>9</v>
      </c>
      <c r="G71">
        <v>0.45955000000000001</v>
      </c>
    </row>
    <row r="72" spans="1:7" x14ac:dyDescent="0.25">
      <c r="A72">
        <v>71</v>
      </c>
      <c r="B72" t="s">
        <v>139</v>
      </c>
      <c r="C72" t="s">
        <v>140</v>
      </c>
      <c r="E72" t="s">
        <v>9</v>
      </c>
      <c r="G72">
        <v>0.41560999999999998</v>
      </c>
    </row>
    <row r="73" spans="1:7" x14ac:dyDescent="0.25">
      <c r="A73">
        <v>72</v>
      </c>
      <c r="B73" t="s">
        <v>141</v>
      </c>
      <c r="C73" t="s">
        <v>142</v>
      </c>
      <c r="E73" t="s">
        <v>9</v>
      </c>
      <c r="G73">
        <v>0.41705999999999999</v>
      </c>
    </row>
    <row r="74" spans="1:7" x14ac:dyDescent="0.25">
      <c r="A74">
        <v>73</v>
      </c>
      <c r="B74" t="s">
        <v>143</v>
      </c>
      <c r="C74" t="s">
        <v>144</v>
      </c>
      <c r="E74" t="s">
        <v>9</v>
      </c>
      <c r="G74">
        <v>0.41646</v>
      </c>
    </row>
    <row r="75" spans="1:7" x14ac:dyDescent="0.25">
      <c r="A75">
        <v>74</v>
      </c>
      <c r="B75" t="s">
        <v>145</v>
      </c>
      <c r="C75" t="s">
        <v>146</v>
      </c>
      <c r="E75" t="s">
        <v>9</v>
      </c>
      <c r="G75">
        <v>0.38229000000000002</v>
      </c>
    </row>
    <row r="76" spans="1:7" x14ac:dyDescent="0.25">
      <c r="A76">
        <v>75</v>
      </c>
      <c r="B76" t="s">
        <v>147</v>
      </c>
      <c r="C76" t="s">
        <v>148</v>
      </c>
      <c r="E76" t="s">
        <v>9</v>
      </c>
      <c r="G76">
        <v>0.38024999999999998</v>
      </c>
    </row>
    <row r="77" spans="1:7" x14ac:dyDescent="0.25">
      <c r="A77">
        <v>76</v>
      </c>
      <c r="B77" t="s">
        <v>149</v>
      </c>
      <c r="C77" t="s">
        <v>150</v>
      </c>
      <c r="E77" t="s">
        <v>9</v>
      </c>
      <c r="G77">
        <v>0.37930999999999998</v>
      </c>
    </row>
    <row r="78" spans="1:7" x14ac:dyDescent="0.25">
      <c r="A78">
        <v>77</v>
      </c>
      <c r="B78" t="s">
        <v>151</v>
      </c>
      <c r="C78" t="s">
        <v>152</v>
      </c>
      <c r="E78" t="s">
        <v>9</v>
      </c>
      <c r="G78">
        <v>0.31581999999999999</v>
      </c>
    </row>
    <row r="79" spans="1:7" x14ac:dyDescent="0.25">
      <c r="A79">
        <v>78</v>
      </c>
      <c r="B79" t="s">
        <v>153</v>
      </c>
      <c r="C79" t="s">
        <v>154</v>
      </c>
      <c r="E79" t="s">
        <v>9</v>
      </c>
      <c r="G79">
        <v>0.31541999999999998</v>
      </c>
    </row>
    <row r="80" spans="1:7" x14ac:dyDescent="0.25">
      <c r="A80">
        <v>79</v>
      </c>
      <c r="B80" t="s">
        <v>155</v>
      </c>
      <c r="C80" t="s">
        <v>156</v>
      </c>
      <c r="E80" t="s">
        <v>9</v>
      </c>
      <c r="G80">
        <v>0.31519000000000003</v>
      </c>
    </row>
    <row r="81" spans="1:7" x14ac:dyDescent="0.25">
      <c r="A81">
        <v>80</v>
      </c>
      <c r="B81" t="s">
        <v>157</v>
      </c>
      <c r="C81" t="s">
        <v>158</v>
      </c>
      <c r="E81" t="s">
        <v>9</v>
      </c>
      <c r="G81">
        <v>0.28205999999999998</v>
      </c>
    </row>
    <row r="82" spans="1:7" x14ac:dyDescent="0.25">
      <c r="A82">
        <v>81</v>
      </c>
      <c r="B82" t="s">
        <v>159</v>
      </c>
      <c r="C82" t="s">
        <v>160</v>
      </c>
      <c r="E82" t="s">
        <v>9</v>
      </c>
      <c r="G82">
        <v>0.28260999999999997</v>
      </c>
    </row>
    <row r="83" spans="1:7" x14ac:dyDescent="0.25">
      <c r="A83">
        <v>82</v>
      </c>
      <c r="B83" t="s">
        <v>161</v>
      </c>
      <c r="C83" t="s">
        <v>162</v>
      </c>
      <c r="E83" t="s">
        <v>9</v>
      </c>
      <c r="G83">
        <v>0.28342000000000001</v>
      </c>
    </row>
    <row r="84" spans="1:7" x14ac:dyDescent="0.25">
      <c r="A84">
        <v>83</v>
      </c>
      <c r="B84" t="s">
        <v>163</v>
      </c>
      <c r="C84" t="s">
        <v>164</v>
      </c>
      <c r="E84" t="s">
        <v>9</v>
      </c>
      <c r="G84">
        <v>0.26279999999999998</v>
      </c>
    </row>
    <row r="85" spans="1:7" x14ac:dyDescent="0.25">
      <c r="A85">
        <v>84</v>
      </c>
      <c r="B85" t="s">
        <v>165</v>
      </c>
      <c r="C85" t="s">
        <v>166</v>
      </c>
      <c r="E85" t="s">
        <v>9</v>
      </c>
      <c r="G85">
        <v>0.26057999999999998</v>
      </c>
    </row>
    <row r="86" spans="1:7" x14ac:dyDescent="0.25">
      <c r="A86">
        <v>85</v>
      </c>
      <c r="B86" t="s">
        <v>167</v>
      </c>
      <c r="C86" t="s">
        <v>168</v>
      </c>
      <c r="E86" t="s">
        <v>9</v>
      </c>
      <c r="G86">
        <v>0.26044</v>
      </c>
    </row>
    <row r="87" spans="1:7" x14ac:dyDescent="0.25">
      <c r="A87">
        <v>86</v>
      </c>
      <c r="B87" t="s">
        <v>169</v>
      </c>
      <c r="C87" t="s">
        <v>170</v>
      </c>
      <c r="E87" t="s">
        <v>9</v>
      </c>
      <c r="G87">
        <v>0.32323000000000002</v>
      </c>
    </row>
    <row r="88" spans="1:7" x14ac:dyDescent="0.25">
      <c r="A88">
        <v>87</v>
      </c>
      <c r="B88" t="s">
        <v>171</v>
      </c>
      <c r="C88" t="s">
        <v>172</v>
      </c>
      <c r="E88" t="s">
        <v>9</v>
      </c>
      <c r="G88">
        <v>0.32274000000000003</v>
      </c>
    </row>
    <row r="89" spans="1:7" x14ac:dyDescent="0.25">
      <c r="A89">
        <v>88</v>
      </c>
      <c r="B89" t="s">
        <v>173</v>
      </c>
      <c r="C89" t="s">
        <v>174</v>
      </c>
      <c r="E89" t="s">
        <v>9</v>
      </c>
      <c r="G89">
        <v>0.32305</v>
      </c>
    </row>
    <row r="90" spans="1:7" x14ac:dyDescent="0.25">
      <c r="A90">
        <v>89</v>
      </c>
      <c r="B90" t="s">
        <v>175</v>
      </c>
      <c r="C90" t="s">
        <v>176</v>
      </c>
      <c r="E90" t="s">
        <v>9</v>
      </c>
      <c r="G90">
        <v>0.37223000000000001</v>
      </c>
    </row>
    <row r="91" spans="1:7" x14ac:dyDescent="0.25">
      <c r="A91">
        <v>90</v>
      </c>
      <c r="B91" t="s">
        <v>177</v>
      </c>
      <c r="C91" t="s">
        <v>178</v>
      </c>
      <c r="E91" t="s">
        <v>9</v>
      </c>
      <c r="G91">
        <v>0.37102000000000002</v>
      </c>
    </row>
    <row r="92" spans="1:7" x14ac:dyDescent="0.25">
      <c r="A92">
        <v>91</v>
      </c>
      <c r="B92" t="s">
        <v>179</v>
      </c>
      <c r="C92" t="s">
        <v>180</v>
      </c>
      <c r="E92" t="s">
        <v>9</v>
      </c>
      <c r="G92">
        <v>0.37203999999999998</v>
      </c>
    </row>
    <row r="93" spans="1:7" x14ac:dyDescent="0.25">
      <c r="A93">
        <v>92</v>
      </c>
      <c r="B93" t="s">
        <v>181</v>
      </c>
      <c r="C93" t="s">
        <v>182</v>
      </c>
      <c r="E93" t="s">
        <v>9</v>
      </c>
      <c r="G93">
        <v>0.47373999999999999</v>
      </c>
    </row>
    <row r="94" spans="1:7" x14ac:dyDescent="0.25">
      <c r="A94">
        <v>93</v>
      </c>
      <c r="B94" t="s">
        <v>183</v>
      </c>
      <c r="C94" t="s">
        <v>184</v>
      </c>
      <c r="E94" t="s">
        <v>9</v>
      </c>
      <c r="G94">
        <v>0.47391</v>
      </c>
    </row>
    <row r="95" spans="1:7" x14ac:dyDescent="0.25">
      <c r="A95">
        <v>94</v>
      </c>
      <c r="B95" t="s">
        <v>185</v>
      </c>
      <c r="C95" t="s">
        <v>186</v>
      </c>
      <c r="E95" t="s">
        <v>9</v>
      </c>
      <c r="G95">
        <v>0.47360999999999998</v>
      </c>
    </row>
    <row r="96" spans="1:7" x14ac:dyDescent="0.25">
      <c r="A96">
        <v>95</v>
      </c>
      <c r="B96" t="s">
        <v>187</v>
      </c>
      <c r="C96" t="s">
        <v>188</v>
      </c>
      <c r="E96" t="s">
        <v>9</v>
      </c>
      <c r="G96">
        <v>0.51192000000000004</v>
      </c>
    </row>
    <row r="97" spans="1:8" x14ac:dyDescent="0.25">
      <c r="A97">
        <v>96</v>
      </c>
      <c r="B97" t="s">
        <v>189</v>
      </c>
      <c r="C97" t="s">
        <v>190</v>
      </c>
      <c r="E97" t="s">
        <v>9</v>
      </c>
      <c r="G97">
        <v>0.51341999999999999</v>
      </c>
    </row>
    <row r="98" spans="1:8" x14ac:dyDescent="0.25">
      <c r="A98">
        <v>97</v>
      </c>
      <c r="B98" t="s">
        <v>191</v>
      </c>
      <c r="C98" t="s">
        <v>192</v>
      </c>
      <c r="E98" t="s">
        <v>9</v>
      </c>
      <c r="G98">
        <v>0.51188</v>
      </c>
    </row>
    <row r="99" spans="1:8" x14ac:dyDescent="0.25">
      <c r="A99">
        <v>98</v>
      </c>
      <c r="B99" t="s">
        <v>193</v>
      </c>
      <c r="C99" t="s">
        <v>194</v>
      </c>
      <c r="E99" t="s">
        <v>9</v>
      </c>
      <c r="G99">
        <v>0.49806</v>
      </c>
    </row>
    <row r="100" spans="1:8" x14ac:dyDescent="0.25">
      <c r="A100">
        <v>99</v>
      </c>
      <c r="B100" t="s">
        <v>195</v>
      </c>
      <c r="C100" t="s">
        <v>196</v>
      </c>
      <c r="D100" t="s">
        <v>197</v>
      </c>
      <c r="E100" t="s">
        <v>9</v>
      </c>
      <c r="G100">
        <v>0.49735000000000001</v>
      </c>
      <c r="H100" t="s">
        <v>197</v>
      </c>
    </row>
    <row r="101" spans="1:8" x14ac:dyDescent="0.25">
      <c r="A101">
        <v>100</v>
      </c>
      <c r="B101" t="s">
        <v>195</v>
      </c>
      <c r="C101" t="s">
        <v>196</v>
      </c>
      <c r="E101" t="s">
        <v>9</v>
      </c>
      <c r="G101">
        <v>0.49701000000000001</v>
      </c>
    </row>
    <row r="102" spans="1:8" x14ac:dyDescent="0.25">
      <c r="A102">
        <v>101</v>
      </c>
      <c r="B102" t="s">
        <v>198</v>
      </c>
      <c r="C102" t="s">
        <v>199</v>
      </c>
      <c r="E102" t="s">
        <v>9</v>
      </c>
      <c r="G102">
        <v>0.49618000000000001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92C2-FB6B-4FD9-8713-9B824CA0D4D7}">
  <dimension ref="A1:L101"/>
  <sheetViews>
    <sheetView topLeftCell="A72" workbookViewId="0">
      <selection activeCell="I1" sqref="I1:K101"/>
    </sheetView>
  </sheetViews>
  <sheetFormatPr defaultColWidth="8.85546875" defaultRowHeight="15" x14ac:dyDescent="0.25"/>
  <cols>
    <col min="2" max="2" width="24.28515625" bestFit="1" customWidth="1"/>
    <col min="3" max="3" width="16.42578125" bestFit="1" customWidth="1"/>
    <col min="9" max="9" width="22.28515625" bestFit="1" customWidth="1"/>
    <col min="10" max="10" width="22.28515625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204</v>
      </c>
      <c r="K1" t="s">
        <v>200</v>
      </c>
    </row>
    <row r="2" spans="1:11" x14ac:dyDescent="0.25">
      <c r="A2">
        <v>1</v>
      </c>
      <c r="B2" t="s">
        <v>7</v>
      </c>
      <c r="C2" t="s">
        <v>8</v>
      </c>
      <c r="E2" t="s">
        <v>9</v>
      </c>
      <c r="G2">
        <v>-4.0000000000000003E-5</v>
      </c>
    </row>
    <row r="3" spans="1:11" x14ac:dyDescent="0.25">
      <c r="A3">
        <v>2</v>
      </c>
      <c r="B3" t="s">
        <v>10</v>
      </c>
      <c r="C3" t="s">
        <v>11</v>
      </c>
      <c r="E3" t="s">
        <v>9</v>
      </c>
      <c r="G3">
        <v>-1.8000000000000001E-4</v>
      </c>
    </row>
    <row r="4" spans="1:11" x14ac:dyDescent="0.25">
      <c r="A4">
        <v>3</v>
      </c>
      <c r="B4" t="s">
        <v>12</v>
      </c>
      <c r="C4" t="s">
        <v>8</v>
      </c>
      <c r="E4" t="s">
        <v>9</v>
      </c>
      <c r="G4">
        <v>-1.0000000000000001E-5</v>
      </c>
    </row>
    <row r="5" spans="1:11" x14ac:dyDescent="0.25">
      <c r="A5">
        <v>4</v>
      </c>
      <c r="B5" t="s">
        <v>13</v>
      </c>
      <c r="C5" t="s">
        <v>8</v>
      </c>
      <c r="E5" t="s">
        <v>9</v>
      </c>
      <c r="G5">
        <v>-3.0000000000000001E-5</v>
      </c>
    </row>
    <row r="6" spans="1:11" x14ac:dyDescent="0.25">
      <c r="A6" s="3">
        <v>5</v>
      </c>
      <c r="B6" s="3" t="s">
        <v>14</v>
      </c>
      <c r="C6" s="3" t="s">
        <v>15</v>
      </c>
      <c r="D6" s="3"/>
      <c r="E6" s="3" t="s">
        <v>9</v>
      </c>
      <c r="F6" s="3"/>
      <c r="G6" s="3">
        <v>0.26906000000000002</v>
      </c>
      <c r="H6" s="3"/>
      <c r="I6" s="3"/>
      <c r="J6" s="3"/>
      <c r="K6" s="3"/>
    </row>
    <row r="7" spans="1:11" x14ac:dyDescent="0.25">
      <c r="A7" s="1">
        <v>6</v>
      </c>
      <c r="B7" s="1" t="s">
        <v>16</v>
      </c>
      <c r="C7" s="1" t="s">
        <v>17</v>
      </c>
      <c r="D7" s="1"/>
      <c r="E7" s="1" t="s">
        <v>9</v>
      </c>
      <c r="F7" s="1"/>
      <c r="G7" s="1">
        <v>0.26930999999999999</v>
      </c>
      <c r="H7" s="1"/>
      <c r="I7" s="1"/>
      <c r="J7" s="1"/>
      <c r="K7" s="1"/>
    </row>
    <row r="8" spans="1:11" x14ac:dyDescent="0.25">
      <c r="A8" s="2">
        <v>7</v>
      </c>
      <c r="B8" s="2" t="s">
        <v>18</v>
      </c>
      <c r="C8" s="2" t="s">
        <v>19</v>
      </c>
      <c r="D8" s="2"/>
      <c r="E8" s="2" t="s">
        <v>9</v>
      </c>
      <c r="F8" s="2"/>
      <c r="G8" s="2">
        <v>0.26704</v>
      </c>
      <c r="H8" s="2"/>
      <c r="I8" s="2" t="str">
        <f>REPLACE(B6,17,2,"")</f>
        <v>Wicklow_09_3-5cm</v>
      </c>
      <c r="J8" s="2" t="str">
        <f>REPLACE(I8,1,11,"")</f>
        <v>3-5cm</v>
      </c>
      <c r="K8" s="2">
        <f>AVERAGE(G6:G8)</f>
        <v>0.26846999999999999</v>
      </c>
    </row>
    <row r="9" spans="1:11" x14ac:dyDescent="0.25">
      <c r="A9" s="3">
        <v>8</v>
      </c>
      <c r="B9" s="3" t="s">
        <v>20</v>
      </c>
      <c r="C9" s="3" t="s">
        <v>21</v>
      </c>
      <c r="D9" s="3"/>
      <c r="E9" s="3" t="s">
        <v>9</v>
      </c>
      <c r="F9" s="3"/>
      <c r="G9" s="3">
        <v>0.36685000000000001</v>
      </c>
      <c r="H9" s="3"/>
      <c r="I9" s="3"/>
      <c r="J9" s="3"/>
      <c r="K9" s="3"/>
    </row>
    <row r="10" spans="1:11" x14ac:dyDescent="0.25">
      <c r="A10" s="1">
        <v>9</v>
      </c>
      <c r="B10" s="1" t="s">
        <v>22</v>
      </c>
      <c r="C10" s="1" t="s">
        <v>23</v>
      </c>
      <c r="D10" s="1"/>
      <c r="E10" s="1" t="s">
        <v>9</v>
      </c>
      <c r="F10" s="1"/>
      <c r="G10" s="1">
        <v>0.36651</v>
      </c>
      <c r="H10" s="1"/>
      <c r="I10" s="1"/>
      <c r="J10" s="1"/>
      <c r="K10" s="1"/>
    </row>
    <row r="11" spans="1:11" x14ac:dyDescent="0.25">
      <c r="A11" s="2">
        <v>10</v>
      </c>
      <c r="B11" s="2" t="s">
        <v>24</v>
      </c>
      <c r="C11" s="2" t="s">
        <v>25</v>
      </c>
      <c r="D11" s="2"/>
      <c r="E11" s="2" t="s">
        <v>9</v>
      </c>
      <c r="F11" s="2"/>
      <c r="G11" s="2">
        <v>0.36649999999999999</v>
      </c>
      <c r="H11" s="2"/>
      <c r="I11" s="2" t="str">
        <f>REPLACE(B9,18,2,"")</f>
        <v>Wicklow_09_8-10cm</v>
      </c>
      <c r="J11" s="2" t="str">
        <f>REPLACE(I11,1,11,"")</f>
        <v>8-10cm</v>
      </c>
      <c r="K11" s="2">
        <f>AVERAGE(G9:G11)</f>
        <v>0.36662</v>
      </c>
    </row>
    <row r="12" spans="1:11" x14ac:dyDescent="0.25">
      <c r="A12" s="3">
        <v>11</v>
      </c>
      <c r="B12" s="3" t="s">
        <v>26</v>
      </c>
      <c r="C12" s="3" t="s">
        <v>27</v>
      </c>
      <c r="D12" s="3"/>
      <c r="E12" s="3" t="s">
        <v>9</v>
      </c>
      <c r="F12" s="3"/>
      <c r="G12" s="3">
        <v>0.36231999999999998</v>
      </c>
      <c r="H12" s="3"/>
      <c r="I12" s="3"/>
      <c r="J12" s="3"/>
      <c r="K12" s="3"/>
    </row>
    <row r="13" spans="1:11" x14ac:dyDescent="0.25">
      <c r="A13" s="1">
        <v>12</v>
      </c>
      <c r="B13" s="1" t="s">
        <v>28</v>
      </c>
      <c r="C13" s="1" t="s">
        <v>29</v>
      </c>
      <c r="D13" s="1"/>
      <c r="E13" s="1" t="s">
        <v>9</v>
      </c>
      <c r="F13" s="1"/>
      <c r="G13" s="1">
        <v>0.36619000000000002</v>
      </c>
      <c r="H13" s="1"/>
      <c r="I13" s="1"/>
      <c r="J13" s="1"/>
      <c r="K13" s="1"/>
    </row>
    <row r="14" spans="1:11" x14ac:dyDescent="0.25">
      <c r="A14" s="2">
        <v>13</v>
      </c>
      <c r="B14" s="2" t="s">
        <v>30</v>
      </c>
      <c r="C14" s="2" t="s">
        <v>31</v>
      </c>
      <c r="D14" s="2"/>
      <c r="E14" s="2" t="s">
        <v>9</v>
      </c>
      <c r="F14" s="2"/>
      <c r="G14" s="2">
        <v>0.3619</v>
      </c>
      <c r="H14" s="2"/>
      <c r="I14" s="2" t="str">
        <f>REPLACE(B12,19,2,"")</f>
        <v>Wicklow_09_13-15cm</v>
      </c>
      <c r="J14" s="2" t="str">
        <f>REPLACE(I14,1,11,"")</f>
        <v>13-15cm</v>
      </c>
      <c r="K14" s="2">
        <f>AVERAGE(G12:G14)</f>
        <v>0.36346999999999996</v>
      </c>
    </row>
    <row r="15" spans="1:11" x14ac:dyDescent="0.25">
      <c r="A15" s="3">
        <v>14</v>
      </c>
      <c r="B15" s="3" t="s">
        <v>32</v>
      </c>
      <c r="C15" s="3" t="s">
        <v>33</v>
      </c>
      <c r="D15" s="3"/>
      <c r="E15" s="3" t="s">
        <v>9</v>
      </c>
      <c r="F15" s="3"/>
      <c r="G15" s="3">
        <v>0.34373999999999999</v>
      </c>
      <c r="H15" s="3"/>
      <c r="I15" s="3"/>
      <c r="J15" s="3"/>
      <c r="K15" s="3"/>
    </row>
    <row r="16" spans="1:11" x14ac:dyDescent="0.25">
      <c r="A16" s="1">
        <v>15</v>
      </c>
      <c r="B16" s="1" t="s">
        <v>34</v>
      </c>
      <c r="C16" s="1" t="s">
        <v>35</v>
      </c>
      <c r="D16" s="1"/>
      <c r="E16" s="1" t="s">
        <v>9</v>
      </c>
      <c r="F16" s="1"/>
      <c r="G16" s="1">
        <v>0.34505000000000002</v>
      </c>
      <c r="H16" s="1"/>
      <c r="I16" s="1"/>
      <c r="J16" s="1"/>
      <c r="K16" s="1"/>
    </row>
    <row r="17" spans="1:12" x14ac:dyDescent="0.25">
      <c r="A17" s="2">
        <v>16</v>
      </c>
      <c r="B17" s="2" t="s">
        <v>36</v>
      </c>
      <c r="C17" s="2" t="s">
        <v>37</v>
      </c>
      <c r="D17" s="2"/>
      <c r="E17" s="2" t="s">
        <v>9</v>
      </c>
      <c r="F17" s="2"/>
      <c r="G17" s="2">
        <v>0.34698000000000001</v>
      </c>
      <c r="H17" s="2"/>
      <c r="I17" s="2" t="str">
        <f>REPLACE(B15,19,2,"")</f>
        <v>Wicklow_09_18-20cm</v>
      </c>
      <c r="J17" s="2" t="str">
        <f>REPLACE(I17,1,11,"")</f>
        <v>18-20cm</v>
      </c>
      <c r="K17" s="2">
        <f>AVERAGE(G15:G17)</f>
        <v>0.34525666666666671</v>
      </c>
    </row>
    <row r="18" spans="1:12" x14ac:dyDescent="0.25">
      <c r="A18" s="1">
        <v>17</v>
      </c>
      <c r="B18" s="1" t="s">
        <v>38</v>
      </c>
      <c r="C18" s="1" t="s">
        <v>39</v>
      </c>
      <c r="D18" s="1"/>
      <c r="E18" s="1" t="s">
        <v>9</v>
      </c>
      <c r="F18" s="1"/>
      <c r="G18" s="1">
        <v>0.43865999999999999</v>
      </c>
      <c r="H18" s="1"/>
      <c r="I18" s="1"/>
      <c r="J18" s="1"/>
      <c r="K18" s="1"/>
      <c r="L18" s="1"/>
    </row>
    <row r="19" spans="1:12" x14ac:dyDescent="0.25">
      <c r="A19" s="1">
        <v>18</v>
      </c>
      <c r="B19" s="1" t="s">
        <v>40</v>
      </c>
      <c r="C19" s="1" t="s">
        <v>41</v>
      </c>
      <c r="D19" s="1"/>
      <c r="E19" s="1" t="s">
        <v>9</v>
      </c>
      <c r="F19" s="1"/>
      <c r="G19" s="1">
        <v>0.43844</v>
      </c>
      <c r="H19" s="1"/>
      <c r="I19" s="1"/>
      <c r="J19" s="1"/>
      <c r="K19" s="1"/>
      <c r="L19" s="1"/>
    </row>
    <row r="20" spans="1:12" x14ac:dyDescent="0.25">
      <c r="A20" s="2">
        <v>19</v>
      </c>
      <c r="B20" s="2" t="s">
        <v>42</v>
      </c>
      <c r="C20" s="2" t="s">
        <v>43</v>
      </c>
      <c r="D20" s="2"/>
      <c r="E20" s="2" t="s">
        <v>9</v>
      </c>
      <c r="F20" s="2"/>
      <c r="G20" s="2">
        <v>0.43970999999999999</v>
      </c>
      <c r="H20" s="2"/>
      <c r="I20" s="2" t="str">
        <f>REPLACE(B18,19,2,"")</f>
        <v>Wicklow_09_23-25cm</v>
      </c>
      <c r="J20" s="2" t="str">
        <f>REPLACE(I20,1,11,"")</f>
        <v>23-25cm</v>
      </c>
      <c r="K20" s="2">
        <f>AVERAGE(G18:G20)</f>
        <v>0.4389366666666667</v>
      </c>
      <c r="L20" s="2"/>
    </row>
    <row r="21" spans="1:12" x14ac:dyDescent="0.25">
      <c r="A21" s="3">
        <v>20</v>
      </c>
      <c r="B21" s="3" t="s">
        <v>44</v>
      </c>
      <c r="C21" s="3" t="s">
        <v>45</v>
      </c>
      <c r="D21" s="3"/>
      <c r="E21" s="3" t="s">
        <v>9</v>
      </c>
      <c r="F21" s="3"/>
      <c r="G21" s="3">
        <v>0.44141000000000002</v>
      </c>
      <c r="H21" s="3"/>
      <c r="I21" s="3"/>
      <c r="J21" s="3"/>
      <c r="K21" s="3"/>
    </row>
    <row r="22" spans="1:12" x14ac:dyDescent="0.25">
      <c r="A22" s="1">
        <v>21</v>
      </c>
      <c r="B22" s="1" t="s">
        <v>46</v>
      </c>
      <c r="C22" s="1" t="s">
        <v>47</v>
      </c>
      <c r="D22" s="1"/>
      <c r="E22" s="1" t="s">
        <v>9</v>
      </c>
      <c r="F22" s="1"/>
      <c r="G22" s="1">
        <v>0.44381999999999999</v>
      </c>
      <c r="H22" s="1"/>
      <c r="I22" s="1"/>
      <c r="J22" s="1"/>
      <c r="K22" s="1"/>
    </row>
    <row r="23" spans="1:12" x14ac:dyDescent="0.25">
      <c r="A23" s="2">
        <v>22</v>
      </c>
      <c r="B23" s="2" t="s">
        <v>48</v>
      </c>
      <c r="C23" s="2" t="s">
        <v>49</v>
      </c>
      <c r="D23" s="2"/>
      <c r="E23" s="2" t="s">
        <v>9</v>
      </c>
      <c r="F23" s="2"/>
      <c r="G23" s="2">
        <v>0.44081999999999999</v>
      </c>
      <c r="H23" s="2"/>
      <c r="I23" s="2" t="str">
        <f>REPLACE(B21,19,2,"")</f>
        <v>Wicklow_09_28-30cm</v>
      </c>
      <c r="J23" s="2" t="str">
        <f>REPLACE(I23,1,11,"")</f>
        <v>28-30cm</v>
      </c>
      <c r="K23" s="2">
        <f>AVERAGE(G21:G23)</f>
        <v>0.44201666666666667</v>
      </c>
    </row>
    <row r="24" spans="1:12" x14ac:dyDescent="0.25">
      <c r="A24" s="3">
        <v>23</v>
      </c>
      <c r="B24" s="3" t="s">
        <v>50</v>
      </c>
      <c r="C24" s="3" t="s">
        <v>51</v>
      </c>
      <c r="D24" s="3"/>
      <c r="E24" s="3" t="s">
        <v>9</v>
      </c>
      <c r="F24" s="3"/>
      <c r="G24" s="3">
        <v>0.43363000000000002</v>
      </c>
      <c r="H24" s="3"/>
      <c r="I24" s="3"/>
      <c r="J24" s="3"/>
      <c r="K24" s="3"/>
    </row>
    <row r="25" spans="1:12" x14ac:dyDescent="0.25">
      <c r="A25" s="1">
        <v>24</v>
      </c>
      <c r="B25" s="1" t="s">
        <v>52</v>
      </c>
      <c r="C25" s="1" t="s">
        <v>53</v>
      </c>
      <c r="D25" s="1"/>
      <c r="E25" s="1" t="s">
        <v>9</v>
      </c>
      <c r="F25" s="1"/>
      <c r="G25" s="1">
        <v>0.43362000000000001</v>
      </c>
      <c r="H25" s="1"/>
      <c r="I25" s="1"/>
      <c r="J25" s="1"/>
      <c r="K25" s="1"/>
    </row>
    <row r="26" spans="1:12" x14ac:dyDescent="0.25">
      <c r="A26" s="2">
        <v>25</v>
      </c>
      <c r="B26" s="2" t="s">
        <v>54</v>
      </c>
      <c r="C26" s="2" t="s">
        <v>55</v>
      </c>
      <c r="D26" s="2"/>
      <c r="E26" s="2" t="s">
        <v>9</v>
      </c>
      <c r="F26" s="2"/>
      <c r="G26" s="2">
        <v>0.43359999999999999</v>
      </c>
      <c r="H26" s="2"/>
      <c r="I26" s="2" t="str">
        <f>REPLACE(B24,19,2,"")</f>
        <v>Wicklow_09_33-35cm</v>
      </c>
      <c r="J26" s="2" t="str">
        <f>REPLACE(I26,1,11,"")</f>
        <v>33-35cm</v>
      </c>
      <c r="K26" s="2">
        <f>AVERAGE(G24:G26)</f>
        <v>0.43361666666666671</v>
      </c>
    </row>
    <row r="27" spans="1:12" x14ac:dyDescent="0.25">
      <c r="A27" s="3">
        <v>26</v>
      </c>
      <c r="B27" s="3" t="s">
        <v>56</v>
      </c>
      <c r="C27" s="3" t="s">
        <v>57</v>
      </c>
      <c r="D27" s="3"/>
      <c r="E27" s="3" t="s">
        <v>9</v>
      </c>
      <c r="F27" s="3"/>
      <c r="G27" s="3">
        <v>0.40799999999999997</v>
      </c>
      <c r="H27" s="3"/>
      <c r="I27" s="3"/>
      <c r="J27" s="3"/>
      <c r="K27" s="3"/>
    </row>
    <row r="28" spans="1:12" x14ac:dyDescent="0.25">
      <c r="A28" s="1">
        <v>27</v>
      </c>
      <c r="B28" s="1" t="s">
        <v>58</v>
      </c>
      <c r="C28" s="1" t="s">
        <v>59</v>
      </c>
      <c r="D28" s="1"/>
      <c r="E28" s="1" t="s">
        <v>9</v>
      </c>
      <c r="F28" s="1"/>
      <c r="G28" s="1">
        <v>0.40499000000000002</v>
      </c>
      <c r="H28" s="1"/>
      <c r="I28" s="1"/>
      <c r="J28" s="1"/>
      <c r="K28" s="1"/>
    </row>
    <row r="29" spans="1:12" x14ac:dyDescent="0.25">
      <c r="A29" s="2">
        <v>28</v>
      </c>
      <c r="B29" s="2" t="s">
        <v>60</v>
      </c>
      <c r="C29" s="2" t="s">
        <v>61</v>
      </c>
      <c r="D29" s="2"/>
      <c r="E29" s="2" t="s">
        <v>9</v>
      </c>
      <c r="F29" s="2"/>
      <c r="G29" s="2">
        <v>0.40573999999999999</v>
      </c>
      <c r="H29" s="2"/>
      <c r="I29" s="2" t="str">
        <f>REPLACE(B27,19,2,"")</f>
        <v>Wicklow_09_38-40cm</v>
      </c>
      <c r="J29" s="2" t="str">
        <f>REPLACE(I29,1,11,"")</f>
        <v>38-40cm</v>
      </c>
      <c r="K29" s="2">
        <f>AVERAGE(G27:G29)</f>
        <v>0.40624333333333329</v>
      </c>
    </row>
    <row r="30" spans="1:12" x14ac:dyDescent="0.25">
      <c r="A30">
        <v>29</v>
      </c>
      <c r="B30" t="s">
        <v>7</v>
      </c>
      <c r="C30" t="s">
        <v>62</v>
      </c>
      <c r="E30" t="s">
        <v>9</v>
      </c>
      <c r="G30">
        <v>-5.0000000000000002E-5</v>
      </c>
    </row>
    <row r="31" spans="1:12" x14ac:dyDescent="0.25">
      <c r="A31">
        <v>30</v>
      </c>
      <c r="B31" t="s">
        <v>10</v>
      </c>
      <c r="C31" t="s">
        <v>63</v>
      </c>
      <c r="E31" t="s">
        <v>9</v>
      </c>
      <c r="G31">
        <v>7.5000000000000002E-4</v>
      </c>
    </row>
    <row r="32" spans="1:12" x14ac:dyDescent="0.25">
      <c r="A32">
        <v>31</v>
      </c>
      <c r="B32" t="s">
        <v>12</v>
      </c>
      <c r="C32" t="s">
        <v>64</v>
      </c>
      <c r="E32" t="s">
        <v>9</v>
      </c>
      <c r="G32">
        <v>-5.9999999999999995E-4</v>
      </c>
    </row>
    <row r="33" spans="1:11" x14ac:dyDescent="0.25">
      <c r="A33">
        <v>32</v>
      </c>
      <c r="B33" t="s">
        <v>13</v>
      </c>
      <c r="C33" t="s">
        <v>65</v>
      </c>
      <c r="E33" t="s">
        <v>9</v>
      </c>
      <c r="G33">
        <v>-8.4999999999999995E-4</v>
      </c>
    </row>
    <row r="34" spans="1:11" x14ac:dyDescent="0.25">
      <c r="A34" s="3">
        <v>33</v>
      </c>
      <c r="B34" s="3" t="s">
        <v>66</v>
      </c>
      <c r="C34" s="3" t="s">
        <v>67</v>
      </c>
      <c r="D34" s="3"/>
      <c r="E34" s="3" t="s">
        <v>9</v>
      </c>
      <c r="F34" s="3"/>
      <c r="G34" s="3">
        <v>0.45138</v>
      </c>
      <c r="H34" s="3"/>
      <c r="I34" s="3"/>
      <c r="J34" s="3"/>
      <c r="K34" s="3"/>
    </row>
    <row r="35" spans="1:11" x14ac:dyDescent="0.25">
      <c r="A35" s="1">
        <v>34</v>
      </c>
      <c r="B35" s="1" t="s">
        <v>68</v>
      </c>
      <c r="C35" s="1" t="s">
        <v>69</v>
      </c>
      <c r="D35" s="1"/>
      <c r="E35" s="1" t="s">
        <v>9</v>
      </c>
      <c r="F35" s="1"/>
      <c r="G35" s="1">
        <v>0.45133000000000001</v>
      </c>
      <c r="H35" s="1"/>
      <c r="I35" s="1"/>
      <c r="J35" s="1"/>
      <c r="K35" s="1"/>
    </row>
    <row r="36" spans="1:11" x14ac:dyDescent="0.25">
      <c r="A36" s="2">
        <v>35</v>
      </c>
      <c r="B36" s="2" t="s">
        <v>70</v>
      </c>
      <c r="C36" s="2" t="s">
        <v>71</v>
      </c>
      <c r="D36" s="2"/>
      <c r="E36" s="2" t="s">
        <v>9</v>
      </c>
      <c r="F36" s="2"/>
      <c r="G36" s="2">
        <v>0.45199</v>
      </c>
      <c r="H36" s="2"/>
      <c r="I36" s="2" t="str">
        <f>REPLACE(B34,19,2,"")</f>
        <v>Wicklow_09_43-45cm</v>
      </c>
      <c r="J36" s="2" t="str">
        <f>REPLACE(I36,1,11,"")</f>
        <v>43-45cm</v>
      </c>
      <c r="K36" s="2">
        <f>AVERAGE(G34:G36)</f>
        <v>0.45156666666666667</v>
      </c>
    </row>
    <row r="37" spans="1:11" x14ac:dyDescent="0.25">
      <c r="A37" s="3">
        <v>36</v>
      </c>
      <c r="B37" s="3" t="s">
        <v>72</v>
      </c>
      <c r="C37" s="3" t="s">
        <v>73</v>
      </c>
      <c r="D37" s="3"/>
      <c r="E37" s="3" t="s">
        <v>9</v>
      </c>
      <c r="F37" s="3"/>
      <c r="G37" s="3">
        <v>0.37525999999999998</v>
      </c>
      <c r="H37" s="3"/>
      <c r="I37" s="3"/>
      <c r="J37" s="3"/>
      <c r="K37" s="3"/>
    </row>
    <row r="38" spans="1:11" x14ac:dyDescent="0.25">
      <c r="A38" s="1">
        <v>37</v>
      </c>
      <c r="B38" s="1" t="s">
        <v>74</v>
      </c>
      <c r="C38" s="1" t="s">
        <v>75</v>
      </c>
      <c r="D38" s="1"/>
      <c r="E38" s="1" t="s">
        <v>9</v>
      </c>
      <c r="F38" s="1"/>
      <c r="G38" s="1">
        <v>0.37508999999999998</v>
      </c>
      <c r="H38" s="1"/>
      <c r="I38" s="1"/>
      <c r="J38" s="1"/>
      <c r="K38" s="1"/>
    </row>
    <row r="39" spans="1:11" x14ac:dyDescent="0.25">
      <c r="A39" s="2">
        <v>38</v>
      </c>
      <c r="B39" s="2" t="s">
        <v>76</v>
      </c>
      <c r="C39" s="2" t="s">
        <v>77</v>
      </c>
      <c r="D39" s="2"/>
      <c r="E39" s="2" t="s">
        <v>9</v>
      </c>
      <c r="F39" s="2"/>
      <c r="G39" s="2">
        <v>0.37403999999999998</v>
      </c>
      <c r="H39" s="2"/>
      <c r="I39" s="2" t="str">
        <f>REPLACE(B37,19,2,"")</f>
        <v>Wicklow_09_50-52cm</v>
      </c>
      <c r="J39" s="2" t="str">
        <f>REPLACE(I39,1,11,"")</f>
        <v>50-52cm</v>
      </c>
      <c r="K39" s="2">
        <f>AVERAGE(G37:G39)</f>
        <v>0.37479666666666667</v>
      </c>
    </row>
    <row r="40" spans="1:11" x14ac:dyDescent="0.25">
      <c r="A40" s="3">
        <v>39</v>
      </c>
      <c r="B40" s="3" t="s">
        <v>78</v>
      </c>
      <c r="C40" s="3" t="s">
        <v>79</v>
      </c>
      <c r="D40" s="3"/>
      <c r="E40" s="3" t="s">
        <v>9</v>
      </c>
      <c r="F40" s="3"/>
      <c r="G40" s="3">
        <v>0.37175999999999998</v>
      </c>
      <c r="H40" s="3"/>
      <c r="I40" s="3"/>
      <c r="J40" s="3"/>
      <c r="K40" s="3"/>
    </row>
    <row r="41" spans="1:11" x14ac:dyDescent="0.25">
      <c r="A41" s="1">
        <v>40</v>
      </c>
      <c r="B41" s="1" t="s">
        <v>80</v>
      </c>
      <c r="C41" s="1" t="s">
        <v>81</v>
      </c>
      <c r="D41" s="1"/>
      <c r="E41" s="1" t="s">
        <v>9</v>
      </c>
      <c r="F41" s="1"/>
      <c r="G41" s="1">
        <v>0.37141000000000002</v>
      </c>
      <c r="H41" s="1"/>
      <c r="I41" s="1"/>
      <c r="J41" s="1"/>
      <c r="K41" s="1"/>
    </row>
    <row r="42" spans="1:11" x14ac:dyDescent="0.25">
      <c r="A42" s="2">
        <v>41</v>
      </c>
      <c r="B42" s="2" t="s">
        <v>82</v>
      </c>
      <c r="C42" s="2" t="s">
        <v>83</v>
      </c>
      <c r="D42" s="2"/>
      <c r="E42" s="2" t="s">
        <v>9</v>
      </c>
      <c r="F42" s="2"/>
      <c r="G42" s="2">
        <v>0.37206</v>
      </c>
      <c r="H42" s="2"/>
      <c r="I42" s="2" t="str">
        <f>REPLACE(B40,19,2,"")</f>
        <v>Wicklow_09_53-55cm</v>
      </c>
      <c r="J42" s="2" t="str">
        <f>REPLACE(I42,1,11,"")</f>
        <v>53-55cm</v>
      </c>
      <c r="K42" s="2">
        <f>AVERAGE(G40:G42)</f>
        <v>0.37174333333333331</v>
      </c>
    </row>
    <row r="43" spans="1:11" x14ac:dyDescent="0.25">
      <c r="A43" s="3">
        <v>42</v>
      </c>
      <c r="B43" s="3" t="s">
        <v>84</v>
      </c>
      <c r="C43" s="3" t="s">
        <v>85</v>
      </c>
      <c r="D43" s="3"/>
      <c r="E43" s="3" t="s">
        <v>9</v>
      </c>
      <c r="F43" s="3"/>
      <c r="G43" s="3">
        <v>0.28776000000000002</v>
      </c>
      <c r="H43" s="3"/>
      <c r="I43" s="3"/>
      <c r="J43" s="3"/>
      <c r="K43" s="3"/>
    </row>
    <row r="44" spans="1:11" x14ac:dyDescent="0.25">
      <c r="A44" s="1">
        <v>43</v>
      </c>
      <c r="B44" s="1" t="s">
        <v>86</v>
      </c>
      <c r="C44" s="1" t="s">
        <v>87</v>
      </c>
      <c r="D44" s="1"/>
      <c r="E44" s="1" t="s">
        <v>9</v>
      </c>
      <c r="F44" s="1"/>
      <c r="G44" s="1">
        <v>0.28423999999999999</v>
      </c>
      <c r="H44" s="1"/>
      <c r="I44" s="1"/>
      <c r="J44" s="1"/>
      <c r="K44" s="1"/>
    </row>
    <row r="45" spans="1:11" x14ac:dyDescent="0.25">
      <c r="A45" s="2">
        <v>44</v>
      </c>
      <c r="B45" s="2" t="s">
        <v>88</v>
      </c>
      <c r="C45" s="2" t="s">
        <v>89</v>
      </c>
      <c r="D45" s="2"/>
      <c r="E45" s="2" t="s">
        <v>9</v>
      </c>
      <c r="F45" s="2"/>
      <c r="G45" s="2">
        <v>0.28373999999999999</v>
      </c>
      <c r="H45" s="2"/>
      <c r="I45" s="2" t="str">
        <f>REPLACE(B43,19,2,"")</f>
        <v>Wicklow_09_58-60cm</v>
      </c>
      <c r="J45" s="2" t="str">
        <f>REPLACE(I45,1,11,"")</f>
        <v>58-60cm</v>
      </c>
      <c r="K45" s="2">
        <f>AVERAGE(G43:G45)</f>
        <v>0.2852466666666667</v>
      </c>
    </row>
    <row r="46" spans="1:11" x14ac:dyDescent="0.25">
      <c r="A46" s="3">
        <v>45</v>
      </c>
      <c r="B46" s="3" t="s">
        <v>90</v>
      </c>
      <c r="C46" s="3" t="s">
        <v>91</v>
      </c>
      <c r="D46" s="3"/>
      <c r="E46" s="3" t="s">
        <v>9</v>
      </c>
      <c r="F46" s="3"/>
      <c r="G46" s="3">
        <v>0.30992999999999998</v>
      </c>
      <c r="H46" s="3"/>
      <c r="I46" s="3"/>
      <c r="J46" s="3"/>
      <c r="K46" s="3"/>
    </row>
    <row r="47" spans="1:11" x14ac:dyDescent="0.25">
      <c r="A47" s="1">
        <v>46</v>
      </c>
      <c r="B47" s="1" t="s">
        <v>92</v>
      </c>
      <c r="C47" s="1" t="s">
        <v>93</v>
      </c>
      <c r="D47" s="1"/>
      <c r="E47" s="1" t="s">
        <v>9</v>
      </c>
      <c r="F47" s="1"/>
      <c r="G47" s="1">
        <v>0.30751000000000001</v>
      </c>
      <c r="H47" s="1"/>
      <c r="I47" s="1"/>
      <c r="J47" s="1"/>
      <c r="K47" s="1"/>
    </row>
    <row r="48" spans="1:11" x14ac:dyDescent="0.25">
      <c r="A48" s="2">
        <v>47</v>
      </c>
      <c r="B48" s="2" t="s">
        <v>94</v>
      </c>
      <c r="C48" s="2" t="s">
        <v>95</v>
      </c>
      <c r="D48" s="2"/>
      <c r="E48" s="2" t="s">
        <v>9</v>
      </c>
      <c r="F48" s="2"/>
      <c r="G48" s="2">
        <v>0.30751000000000001</v>
      </c>
      <c r="H48" s="2"/>
      <c r="I48" s="2" t="str">
        <f>REPLACE(B46,19,2,"")</f>
        <v>Wicklow_09_63-65cm</v>
      </c>
      <c r="J48" s="2" t="str">
        <f>REPLACE(I48,1,11,"")</f>
        <v>63-65cm</v>
      </c>
      <c r="K48" s="2">
        <f>AVERAGE(G46:G48)</f>
        <v>0.30831666666666663</v>
      </c>
    </row>
    <row r="49" spans="1:11" x14ac:dyDescent="0.25">
      <c r="A49" s="3">
        <v>48</v>
      </c>
      <c r="B49" s="3" t="s">
        <v>96</v>
      </c>
      <c r="C49" s="3" t="s">
        <v>97</v>
      </c>
      <c r="D49" s="3"/>
      <c r="E49" s="3" t="s">
        <v>9</v>
      </c>
      <c r="F49" s="3"/>
      <c r="G49" s="3">
        <v>0.27662999999999999</v>
      </c>
      <c r="H49" s="3"/>
      <c r="I49" s="3"/>
      <c r="J49" s="3"/>
      <c r="K49" s="3"/>
    </row>
    <row r="50" spans="1:11" x14ac:dyDescent="0.25">
      <c r="A50" s="1">
        <v>49</v>
      </c>
      <c r="B50" s="1" t="s">
        <v>98</v>
      </c>
      <c r="C50" s="1" t="s">
        <v>99</v>
      </c>
      <c r="D50" s="1"/>
      <c r="E50" s="1" t="s">
        <v>9</v>
      </c>
      <c r="F50" s="1"/>
      <c r="G50" s="1">
        <v>0.27632000000000001</v>
      </c>
      <c r="H50" s="1"/>
      <c r="I50" s="1"/>
      <c r="J50" s="1"/>
      <c r="K50" s="1"/>
    </row>
    <row r="51" spans="1:11" x14ac:dyDescent="0.25">
      <c r="A51" s="2">
        <v>50</v>
      </c>
      <c r="B51" s="2" t="s">
        <v>100</v>
      </c>
      <c r="C51" s="2" t="s">
        <v>101</v>
      </c>
      <c r="D51" s="2"/>
      <c r="E51" s="2" t="s">
        <v>9</v>
      </c>
      <c r="F51" s="2"/>
      <c r="G51" s="2">
        <v>0.27661000000000002</v>
      </c>
      <c r="H51" s="2"/>
      <c r="I51" s="2" t="str">
        <f>REPLACE(B49,19,2,"")</f>
        <v>Wicklow_09_68-70cm</v>
      </c>
      <c r="J51" s="2" t="str">
        <f>REPLACE(I51,1,11,"")</f>
        <v>68-70cm</v>
      </c>
      <c r="K51" s="2">
        <f>AVERAGE(G49:G51)</f>
        <v>0.27652000000000004</v>
      </c>
    </row>
    <row r="52" spans="1:11" x14ac:dyDescent="0.25">
      <c r="A52" s="3">
        <v>51</v>
      </c>
      <c r="B52" s="3" t="s">
        <v>102</v>
      </c>
      <c r="C52" s="3" t="s">
        <v>103</v>
      </c>
      <c r="D52" s="3"/>
      <c r="E52" s="3" t="s">
        <v>9</v>
      </c>
      <c r="F52" s="3"/>
      <c r="G52" s="3">
        <v>0.34672999999999998</v>
      </c>
      <c r="H52" s="3"/>
      <c r="I52" s="3"/>
      <c r="J52" s="3"/>
      <c r="K52" s="3"/>
    </row>
    <row r="53" spans="1:11" x14ac:dyDescent="0.25">
      <c r="A53" s="1">
        <v>52</v>
      </c>
      <c r="B53" s="1" t="s">
        <v>104</v>
      </c>
      <c r="C53" s="1" t="s">
        <v>105</v>
      </c>
      <c r="D53" s="1"/>
      <c r="E53" s="1" t="s">
        <v>9</v>
      </c>
      <c r="F53" s="1"/>
      <c r="G53" s="1">
        <v>0.34705000000000003</v>
      </c>
      <c r="H53" s="1"/>
      <c r="I53" s="1"/>
      <c r="J53" s="1"/>
      <c r="K53" s="1"/>
    </row>
    <row r="54" spans="1:11" x14ac:dyDescent="0.25">
      <c r="A54" s="2">
        <v>53</v>
      </c>
      <c r="B54" s="2" t="s">
        <v>106</v>
      </c>
      <c r="C54" s="2" t="s">
        <v>107</v>
      </c>
      <c r="D54" s="2"/>
      <c r="E54" s="2" t="s">
        <v>9</v>
      </c>
      <c r="F54" s="2"/>
      <c r="G54" s="2">
        <v>0.34683000000000003</v>
      </c>
      <c r="H54" s="2"/>
      <c r="I54" s="2" t="str">
        <f>REPLACE(B52,19,2,"")</f>
        <v>Wicklow_09_73-75cm</v>
      </c>
      <c r="J54" s="2" t="str">
        <f>REPLACE(I54,1,11,"")</f>
        <v>73-75cm</v>
      </c>
      <c r="K54" s="2">
        <f>AVERAGE(G52:G54)</f>
        <v>0.34687000000000001</v>
      </c>
    </row>
    <row r="55" spans="1:11" x14ac:dyDescent="0.25">
      <c r="A55" s="3">
        <v>54</v>
      </c>
      <c r="B55" s="3" t="s">
        <v>108</v>
      </c>
      <c r="C55" s="3" t="s">
        <v>109</v>
      </c>
      <c r="D55" s="3"/>
      <c r="E55" s="3" t="s">
        <v>9</v>
      </c>
      <c r="F55" s="3"/>
      <c r="G55" s="3">
        <v>0.37490000000000001</v>
      </c>
      <c r="H55" s="3"/>
      <c r="I55" s="3"/>
      <c r="J55" s="3"/>
      <c r="K55" s="3"/>
    </row>
    <row r="56" spans="1:11" x14ac:dyDescent="0.25">
      <c r="A56" s="1">
        <v>55</v>
      </c>
      <c r="B56" s="1" t="s">
        <v>110</v>
      </c>
      <c r="C56" s="1" t="s">
        <v>111</v>
      </c>
      <c r="D56" s="1"/>
      <c r="E56" s="1" t="s">
        <v>9</v>
      </c>
      <c r="F56" s="1"/>
      <c r="G56" s="1">
        <v>0.37463000000000002</v>
      </c>
      <c r="H56" s="1"/>
      <c r="I56" s="1"/>
      <c r="J56" s="1"/>
      <c r="K56" s="1"/>
    </row>
    <row r="57" spans="1:11" x14ac:dyDescent="0.25">
      <c r="A57" s="2">
        <v>56</v>
      </c>
      <c r="B57" s="2" t="s">
        <v>112</v>
      </c>
      <c r="C57" s="2" t="s">
        <v>113</v>
      </c>
      <c r="D57" s="2"/>
      <c r="E57" s="2" t="s">
        <v>9</v>
      </c>
      <c r="F57" s="2"/>
      <c r="G57" s="2">
        <v>0.37446000000000002</v>
      </c>
      <c r="H57" s="2"/>
      <c r="I57" s="2" t="str">
        <f>REPLACE(B55,19,2,"")</f>
        <v>Wicklow_09_78-80cm</v>
      </c>
      <c r="J57" s="2" t="str">
        <f>REPLACE(I57,1,11,"")</f>
        <v>78-80cm</v>
      </c>
      <c r="K57" s="2">
        <f>AVERAGE(G55:G57)</f>
        <v>0.37466333333333335</v>
      </c>
    </row>
    <row r="58" spans="1:11" x14ac:dyDescent="0.25">
      <c r="A58" s="3">
        <v>57</v>
      </c>
      <c r="B58" s="3" t="s">
        <v>114</v>
      </c>
      <c r="C58" s="3" t="s">
        <v>115</v>
      </c>
      <c r="D58" s="3"/>
      <c r="E58" s="3" t="s">
        <v>9</v>
      </c>
      <c r="F58" s="3"/>
      <c r="G58" s="3">
        <v>0.42699999999999999</v>
      </c>
      <c r="H58" s="3"/>
      <c r="I58" s="3"/>
      <c r="J58" s="3"/>
      <c r="K58" s="3"/>
    </row>
    <row r="59" spans="1:11" x14ac:dyDescent="0.25">
      <c r="A59" s="1">
        <v>58</v>
      </c>
      <c r="B59" s="1" t="s">
        <v>116</v>
      </c>
      <c r="C59" s="1" t="s">
        <v>117</v>
      </c>
      <c r="D59" s="1"/>
      <c r="E59" s="1" t="s">
        <v>9</v>
      </c>
      <c r="F59" s="1"/>
      <c r="G59" s="1">
        <v>0.4264</v>
      </c>
      <c r="H59" s="1"/>
      <c r="I59" s="1"/>
      <c r="J59" s="1"/>
      <c r="K59" s="1"/>
    </row>
    <row r="60" spans="1:11" x14ac:dyDescent="0.25">
      <c r="A60" s="2">
        <v>59</v>
      </c>
      <c r="B60" s="2" t="s">
        <v>118</v>
      </c>
      <c r="C60" s="2" t="s">
        <v>119</v>
      </c>
      <c r="D60" s="2"/>
      <c r="E60" s="2" t="s">
        <v>9</v>
      </c>
      <c r="F60" s="2"/>
      <c r="G60" s="2">
        <v>0.42613000000000001</v>
      </c>
      <c r="H60" s="2"/>
      <c r="I60" s="2" t="str">
        <f>REPLACE(B58,19,2,"")</f>
        <v>Wicklow_09_83-85cm</v>
      </c>
      <c r="J60" s="2" t="str">
        <f>REPLACE(I60,1,11,"")</f>
        <v>83-85cm</v>
      </c>
      <c r="K60" s="2">
        <f>AVERAGE(G58:G60)</f>
        <v>0.42650999999999994</v>
      </c>
    </row>
    <row r="61" spans="1:11" x14ac:dyDescent="0.25">
      <c r="A61" s="3">
        <v>60</v>
      </c>
      <c r="B61" s="3" t="s">
        <v>120</v>
      </c>
      <c r="C61" s="3" t="s">
        <v>121</v>
      </c>
      <c r="D61" s="3"/>
      <c r="E61" s="3" t="s">
        <v>9</v>
      </c>
      <c r="F61" s="3"/>
      <c r="G61" s="3">
        <v>0.39591999999999999</v>
      </c>
      <c r="H61" s="3"/>
      <c r="I61" s="3"/>
      <c r="J61" s="3"/>
      <c r="K61" s="3"/>
    </row>
    <row r="62" spans="1:11" x14ac:dyDescent="0.25">
      <c r="A62" s="1">
        <v>61</v>
      </c>
      <c r="B62" s="1" t="s">
        <v>122</v>
      </c>
      <c r="C62" s="1" t="s">
        <v>123</v>
      </c>
      <c r="D62" s="1"/>
      <c r="E62" s="1" t="s">
        <v>9</v>
      </c>
      <c r="F62" s="1"/>
      <c r="G62" s="1">
        <v>0.39913999999999999</v>
      </c>
      <c r="H62" s="1"/>
      <c r="I62" s="1"/>
      <c r="J62" s="1"/>
      <c r="K62" s="1"/>
    </row>
    <row r="63" spans="1:11" x14ac:dyDescent="0.25">
      <c r="A63" s="2">
        <v>62</v>
      </c>
      <c r="B63" s="2" t="s">
        <v>124</v>
      </c>
      <c r="C63" s="2" t="s">
        <v>125</v>
      </c>
      <c r="D63" s="2"/>
      <c r="E63" s="2" t="s">
        <v>9</v>
      </c>
      <c r="F63" s="2"/>
      <c r="G63" s="2">
        <v>0.39551999999999998</v>
      </c>
      <c r="H63" s="2"/>
      <c r="I63" s="2" t="str">
        <f>REPLACE(B61,19,2,"")</f>
        <v>Wicklow_09_88-90cm</v>
      </c>
      <c r="J63" s="2" t="str">
        <f>REPLACE(I63,1,11,"")</f>
        <v>88-90cm</v>
      </c>
      <c r="K63" s="2">
        <f>AVERAGE(G61:G63)</f>
        <v>0.39685999999999999</v>
      </c>
    </row>
    <row r="64" spans="1:11" x14ac:dyDescent="0.25">
      <c r="A64" s="3">
        <v>63</v>
      </c>
      <c r="B64" s="3" t="s">
        <v>201</v>
      </c>
      <c r="C64" s="3" t="s">
        <v>127</v>
      </c>
      <c r="D64" s="3"/>
      <c r="E64" s="3" t="s">
        <v>9</v>
      </c>
      <c r="F64" s="3"/>
      <c r="G64" s="3">
        <v>0.38096000000000002</v>
      </c>
      <c r="H64" s="3"/>
      <c r="I64" s="3"/>
      <c r="J64" s="3"/>
      <c r="K64" s="3"/>
    </row>
    <row r="65" spans="1:11" x14ac:dyDescent="0.25">
      <c r="A65" s="1">
        <v>64</v>
      </c>
      <c r="B65" s="1" t="s">
        <v>202</v>
      </c>
      <c r="C65" s="1" t="s">
        <v>129</v>
      </c>
      <c r="D65" s="1"/>
      <c r="E65" s="1" t="s">
        <v>9</v>
      </c>
      <c r="F65" s="1"/>
      <c r="G65" s="1">
        <v>0.38052000000000002</v>
      </c>
      <c r="H65" s="1"/>
      <c r="I65" s="1"/>
      <c r="J65" s="1"/>
      <c r="K65" s="1"/>
    </row>
    <row r="66" spans="1:11" x14ac:dyDescent="0.25">
      <c r="A66" s="2">
        <v>65</v>
      </c>
      <c r="B66" s="2" t="s">
        <v>203</v>
      </c>
      <c r="C66" s="2" t="s">
        <v>131</v>
      </c>
      <c r="D66" s="2"/>
      <c r="E66" s="2" t="s">
        <v>9</v>
      </c>
      <c r="F66" s="2"/>
      <c r="G66" s="2">
        <v>0.37995000000000001</v>
      </c>
      <c r="H66" s="2"/>
      <c r="I66" s="2" t="str">
        <f>REPLACE(B64,19,2,"")</f>
        <v>Wicklow_09_93-95cm</v>
      </c>
      <c r="J66" s="2" t="str">
        <f>REPLACE(I66,1,11,"")</f>
        <v>93-95cm</v>
      </c>
      <c r="K66" s="2">
        <f>AVERAGE(G64:G66)</f>
        <v>0.38047666666666674</v>
      </c>
    </row>
    <row r="67" spans="1:11" x14ac:dyDescent="0.25">
      <c r="A67">
        <v>66</v>
      </c>
      <c r="B67" t="s">
        <v>7</v>
      </c>
      <c r="C67" t="s">
        <v>8</v>
      </c>
      <c r="E67" t="s">
        <v>9</v>
      </c>
      <c r="G67">
        <v>-3.0000000000000001E-5</v>
      </c>
    </row>
    <row r="68" spans="1:11" x14ac:dyDescent="0.25">
      <c r="A68">
        <v>67</v>
      </c>
      <c r="B68" t="s">
        <v>132</v>
      </c>
      <c r="C68" t="s">
        <v>8</v>
      </c>
      <c r="E68" t="s">
        <v>9</v>
      </c>
      <c r="G68">
        <v>2.0000000000000002E-5</v>
      </c>
    </row>
    <row r="69" spans="1:11" x14ac:dyDescent="0.25">
      <c r="A69" s="3">
        <v>68</v>
      </c>
      <c r="B69" s="3" t="s">
        <v>133</v>
      </c>
      <c r="C69" s="3" t="s">
        <v>134</v>
      </c>
      <c r="D69" s="3"/>
      <c r="E69" s="3" t="s">
        <v>9</v>
      </c>
      <c r="F69" s="3"/>
      <c r="G69" s="3">
        <v>0.45965</v>
      </c>
      <c r="H69" s="3"/>
      <c r="I69" s="3"/>
      <c r="J69" s="3"/>
      <c r="K69" s="3"/>
    </row>
    <row r="70" spans="1:11" x14ac:dyDescent="0.25">
      <c r="A70" s="1">
        <v>69</v>
      </c>
      <c r="B70" s="1" t="s">
        <v>135</v>
      </c>
      <c r="C70" s="1" t="s">
        <v>136</v>
      </c>
      <c r="D70" s="1"/>
      <c r="E70" s="1" t="s">
        <v>9</v>
      </c>
      <c r="F70" s="1"/>
      <c r="G70" s="1">
        <v>0.45987</v>
      </c>
      <c r="H70" s="1"/>
      <c r="I70" s="1"/>
      <c r="J70" s="1"/>
      <c r="K70" s="1"/>
    </row>
    <row r="71" spans="1:11" x14ac:dyDescent="0.25">
      <c r="A71" s="2">
        <v>70</v>
      </c>
      <c r="B71" s="2" t="s">
        <v>137</v>
      </c>
      <c r="C71" s="2" t="s">
        <v>138</v>
      </c>
      <c r="D71" s="2"/>
      <c r="E71" s="2" t="s">
        <v>9</v>
      </c>
      <c r="F71" s="2"/>
      <c r="G71" s="2">
        <v>0.45955000000000001</v>
      </c>
      <c r="H71" s="2"/>
      <c r="I71" s="2" t="str">
        <f>REPLACE(B69,21,2,"")</f>
        <v>Wicklow_09_100-102cm</v>
      </c>
      <c r="J71" s="2" t="str">
        <f>REPLACE(I71,1,11,"")</f>
        <v>100-102cm</v>
      </c>
      <c r="K71" s="2">
        <f>AVERAGE(G69:G71)</f>
        <v>0.45968999999999999</v>
      </c>
    </row>
    <row r="72" spans="1:11" x14ac:dyDescent="0.25">
      <c r="A72" s="3">
        <v>71</v>
      </c>
      <c r="B72" s="3" t="s">
        <v>139</v>
      </c>
      <c r="C72" s="3" t="s">
        <v>140</v>
      </c>
      <c r="D72" s="3"/>
      <c r="E72" s="3" t="s">
        <v>9</v>
      </c>
      <c r="F72" s="3"/>
      <c r="G72" s="3">
        <v>0.41560999999999998</v>
      </c>
      <c r="H72" s="3"/>
      <c r="I72" s="3"/>
      <c r="J72" s="3"/>
      <c r="K72" s="3"/>
    </row>
    <row r="73" spans="1:11" x14ac:dyDescent="0.25">
      <c r="A73" s="1">
        <v>72</v>
      </c>
      <c r="B73" s="1" t="s">
        <v>141</v>
      </c>
      <c r="C73" s="1" t="s">
        <v>142</v>
      </c>
      <c r="D73" s="1"/>
      <c r="E73" s="1" t="s">
        <v>9</v>
      </c>
      <c r="F73" s="1"/>
      <c r="G73" s="1">
        <v>0.41705999999999999</v>
      </c>
      <c r="H73" s="1"/>
      <c r="I73" s="1"/>
      <c r="J73" s="1"/>
      <c r="K73" s="1"/>
    </row>
    <row r="74" spans="1:11" x14ac:dyDescent="0.25">
      <c r="A74" s="2">
        <v>73</v>
      </c>
      <c r="B74" s="2" t="s">
        <v>143</v>
      </c>
      <c r="C74" s="2" t="s">
        <v>144</v>
      </c>
      <c r="D74" s="2"/>
      <c r="E74" s="2" t="s">
        <v>9</v>
      </c>
      <c r="F74" s="2"/>
      <c r="G74" s="2">
        <v>0.41646</v>
      </c>
      <c r="H74" s="2"/>
      <c r="I74" s="2" t="str">
        <f>REPLACE(B72,21,2,"")</f>
        <v>Wicklow_09_103-105cm</v>
      </c>
      <c r="J74" s="2" t="str">
        <f>REPLACE(I74,1,11,"")</f>
        <v>103-105cm</v>
      </c>
      <c r="K74" s="2">
        <f>AVERAGE(G72:G74)</f>
        <v>0.41637666666666667</v>
      </c>
    </row>
    <row r="75" spans="1:11" x14ac:dyDescent="0.25">
      <c r="A75" s="3">
        <v>74</v>
      </c>
      <c r="B75" s="3" t="s">
        <v>145</v>
      </c>
      <c r="C75" s="3" t="s">
        <v>146</v>
      </c>
      <c r="D75" s="3"/>
      <c r="E75" s="3" t="s">
        <v>9</v>
      </c>
      <c r="F75" s="3"/>
      <c r="G75" s="3">
        <v>0.38229000000000002</v>
      </c>
      <c r="H75" s="3"/>
      <c r="I75" s="3"/>
      <c r="J75" s="3"/>
      <c r="K75" s="3"/>
    </row>
    <row r="76" spans="1:11" x14ac:dyDescent="0.25">
      <c r="A76" s="1">
        <v>75</v>
      </c>
      <c r="B76" s="1" t="s">
        <v>147</v>
      </c>
      <c r="C76" s="1" t="s">
        <v>148</v>
      </c>
      <c r="D76" s="1"/>
      <c r="E76" s="1" t="s">
        <v>9</v>
      </c>
      <c r="F76" s="1"/>
      <c r="G76" s="1">
        <v>0.38024999999999998</v>
      </c>
      <c r="H76" s="1"/>
      <c r="I76" s="1"/>
      <c r="J76" s="1"/>
      <c r="K76" s="1"/>
    </row>
    <row r="77" spans="1:11" x14ac:dyDescent="0.25">
      <c r="A77" s="2">
        <v>76</v>
      </c>
      <c r="B77" s="2" t="s">
        <v>149</v>
      </c>
      <c r="C77" s="2" t="s">
        <v>150</v>
      </c>
      <c r="D77" s="2"/>
      <c r="E77" s="2" t="s">
        <v>9</v>
      </c>
      <c r="F77" s="2"/>
      <c r="G77" s="2">
        <v>0.37930999999999998</v>
      </c>
      <c r="H77" s="2"/>
      <c r="I77" s="2" t="str">
        <f>REPLACE(B75,21,2,"")</f>
        <v>Wicklow_09_108-110cm</v>
      </c>
      <c r="J77" s="2" t="str">
        <f>REPLACE(I77,1,11,"")</f>
        <v>108-110cm</v>
      </c>
      <c r="K77" s="2">
        <f>AVERAGE(G75:G77)</f>
        <v>0.38061666666666666</v>
      </c>
    </row>
    <row r="78" spans="1:11" x14ac:dyDescent="0.25">
      <c r="A78" s="3">
        <v>77</v>
      </c>
      <c r="B78" s="3" t="s">
        <v>151</v>
      </c>
      <c r="C78" s="3" t="s">
        <v>152</v>
      </c>
      <c r="D78" s="3"/>
      <c r="E78" s="3" t="s">
        <v>9</v>
      </c>
      <c r="F78" s="3"/>
      <c r="G78" s="3">
        <v>0.31581999999999999</v>
      </c>
      <c r="H78" s="3"/>
      <c r="I78" s="3"/>
      <c r="J78" s="3"/>
      <c r="K78" s="3"/>
    </row>
    <row r="79" spans="1:11" x14ac:dyDescent="0.25">
      <c r="A79" s="1">
        <v>78</v>
      </c>
      <c r="B79" s="1" t="s">
        <v>153</v>
      </c>
      <c r="C79" s="1" t="s">
        <v>154</v>
      </c>
      <c r="D79" s="1"/>
      <c r="E79" s="1" t="s">
        <v>9</v>
      </c>
      <c r="F79" s="1"/>
      <c r="G79" s="1">
        <v>0.31541999999999998</v>
      </c>
      <c r="H79" s="1"/>
      <c r="I79" s="1"/>
      <c r="J79" s="1"/>
      <c r="K79" s="1"/>
    </row>
    <row r="80" spans="1:11" x14ac:dyDescent="0.25">
      <c r="A80" s="2">
        <v>79</v>
      </c>
      <c r="B80" s="2" t="s">
        <v>155</v>
      </c>
      <c r="C80" s="2" t="s">
        <v>156</v>
      </c>
      <c r="D80" s="2"/>
      <c r="E80" s="2" t="s">
        <v>9</v>
      </c>
      <c r="F80" s="2"/>
      <c r="G80" s="2">
        <v>0.31519000000000003</v>
      </c>
      <c r="H80" s="2"/>
      <c r="I80" s="2" t="str">
        <f>REPLACE(B78,21,2,"")</f>
        <v>Wicklow_09_113-115cm</v>
      </c>
      <c r="J80" s="2" t="str">
        <f>REPLACE(I80,1,11,"")</f>
        <v>113-115cm</v>
      </c>
      <c r="K80" s="2">
        <f>AVERAGE(G78:G80)</f>
        <v>0.31547666666666668</v>
      </c>
    </row>
    <row r="81" spans="1:11" x14ac:dyDescent="0.25">
      <c r="A81" s="3">
        <v>80</v>
      </c>
      <c r="B81" s="3" t="s">
        <v>157</v>
      </c>
      <c r="C81" s="3" t="s">
        <v>158</v>
      </c>
      <c r="D81" s="3"/>
      <c r="E81" s="3" t="s">
        <v>9</v>
      </c>
      <c r="F81" s="3"/>
      <c r="G81" s="3">
        <v>0.28205999999999998</v>
      </c>
      <c r="H81" s="3"/>
      <c r="I81" s="3"/>
      <c r="J81" s="3"/>
      <c r="K81" s="3"/>
    </row>
    <row r="82" spans="1:11" x14ac:dyDescent="0.25">
      <c r="A82" s="1">
        <v>81</v>
      </c>
      <c r="B82" s="1" t="s">
        <v>159</v>
      </c>
      <c r="C82" s="1" t="s">
        <v>160</v>
      </c>
      <c r="D82" s="1"/>
      <c r="E82" s="1" t="s">
        <v>9</v>
      </c>
      <c r="F82" s="1"/>
      <c r="G82" s="1">
        <v>0.28260999999999997</v>
      </c>
      <c r="H82" s="1"/>
      <c r="I82" s="1"/>
      <c r="J82" s="1"/>
      <c r="K82" s="1"/>
    </row>
    <row r="83" spans="1:11" x14ac:dyDescent="0.25">
      <c r="A83" s="2">
        <v>82</v>
      </c>
      <c r="B83" s="2" t="s">
        <v>161</v>
      </c>
      <c r="C83" s="2" t="s">
        <v>162</v>
      </c>
      <c r="D83" s="2"/>
      <c r="E83" s="2" t="s">
        <v>9</v>
      </c>
      <c r="F83" s="2"/>
      <c r="G83" s="2">
        <v>0.28342000000000001</v>
      </c>
      <c r="H83" s="2"/>
      <c r="I83" s="2" t="str">
        <f>REPLACE(B81,21,2,"")</f>
        <v>Wicklow_09_118-120cm</v>
      </c>
      <c r="J83" s="2" t="str">
        <f>REPLACE(I83,1,11,"")</f>
        <v>118-120cm</v>
      </c>
      <c r="K83" s="2">
        <f>AVERAGE(G81:G83)</f>
        <v>0.28269666666666665</v>
      </c>
    </row>
    <row r="84" spans="1:11" x14ac:dyDescent="0.25">
      <c r="A84" s="3">
        <v>83</v>
      </c>
      <c r="B84" s="3" t="s">
        <v>163</v>
      </c>
      <c r="C84" s="3" t="s">
        <v>164</v>
      </c>
      <c r="D84" s="3"/>
      <c r="E84" s="3" t="s">
        <v>9</v>
      </c>
      <c r="F84" s="3"/>
      <c r="G84" s="3">
        <v>0.26279999999999998</v>
      </c>
      <c r="H84" s="3"/>
      <c r="I84" s="3"/>
      <c r="J84" s="3"/>
      <c r="K84" s="3"/>
    </row>
    <row r="85" spans="1:11" x14ac:dyDescent="0.25">
      <c r="A85" s="1">
        <v>84</v>
      </c>
      <c r="B85" s="1" t="s">
        <v>165</v>
      </c>
      <c r="C85" s="1" t="s">
        <v>166</v>
      </c>
      <c r="D85" s="1"/>
      <c r="E85" s="1" t="s">
        <v>9</v>
      </c>
      <c r="F85" s="1"/>
      <c r="G85" s="1">
        <v>0.26057999999999998</v>
      </c>
      <c r="H85" s="1"/>
      <c r="I85" s="1"/>
      <c r="J85" s="1"/>
      <c r="K85" s="1"/>
    </row>
    <row r="86" spans="1:11" x14ac:dyDescent="0.25">
      <c r="A86" s="2">
        <v>85</v>
      </c>
      <c r="B86" s="2" t="s">
        <v>167</v>
      </c>
      <c r="C86" s="2" t="s">
        <v>168</v>
      </c>
      <c r="D86" s="2"/>
      <c r="E86" s="2" t="s">
        <v>9</v>
      </c>
      <c r="F86" s="2"/>
      <c r="G86" s="2">
        <v>0.26044</v>
      </c>
      <c r="H86" s="2"/>
      <c r="I86" s="2" t="str">
        <f>REPLACE(B84,21,2,"")</f>
        <v>Wicklow_09_123-125cm</v>
      </c>
      <c r="J86" s="2" t="str">
        <f>REPLACE(I86,1,11,"")</f>
        <v>123-125cm</v>
      </c>
      <c r="K86" s="2">
        <f>AVERAGE(G84:G86)</f>
        <v>0.2612733333333333</v>
      </c>
    </row>
    <row r="87" spans="1:11" x14ac:dyDescent="0.25">
      <c r="A87" s="3">
        <v>86</v>
      </c>
      <c r="B87" s="3" t="s">
        <v>169</v>
      </c>
      <c r="C87" s="3" t="s">
        <v>170</v>
      </c>
      <c r="D87" s="3"/>
      <c r="E87" s="3" t="s">
        <v>9</v>
      </c>
      <c r="F87" s="3"/>
      <c r="G87" s="3">
        <v>0.32323000000000002</v>
      </c>
      <c r="H87" s="3"/>
      <c r="I87" s="3"/>
      <c r="J87" s="3"/>
      <c r="K87" s="3"/>
    </row>
    <row r="88" spans="1:11" x14ac:dyDescent="0.25">
      <c r="A88" s="1">
        <v>87</v>
      </c>
      <c r="B88" s="1" t="s">
        <v>171</v>
      </c>
      <c r="C88" s="1" t="s">
        <v>172</v>
      </c>
      <c r="D88" s="1"/>
      <c r="E88" s="1" t="s">
        <v>9</v>
      </c>
      <c r="F88" s="1"/>
      <c r="G88" s="1">
        <v>0.32274000000000003</v>
      </c>
      <c r="H88" s="1"/>
      <c r="I88" s="1"/>
      <c r="J88" s="1"/>
      <c r="K88" s="1"/>
    </row>
    <row r="89" spans="1:11" x14ac:dyDescent="0.25">
      <c r="A89" s="2">
        <v>88</v>
      </c>
      <c r="B89" s="2" t="s">
        <v>173</v>
      </c>
      <c r="C89" s="2" t="s">
        <v>174</v>
      </c>
      <c r="D89" s="2"/>
      <c r="E89" s="2" t="s">
        <v>9</v>
      </c>
      <c r="F89" s="2"/>
      <c r="G89" s="2">
        <v>0.32305</v>
      </c>
      <c r="H89" s="2"/>
      <c r="I89" s="2" t="str">
        <f>REPLACE(B87,21,2,"")</f>
        <v>Wicklow_09_128-130cm</v>
      </c>
      <c r="J89" s="2" t="str">
        <f>REPLACE(I89,1,11,"")</f>
        <v>128-130cm</v>
      </c>
      <c r="K89" s="2">
        <f>AVERAGE(G87:G89)</f>
        <v>0.32300666666666666</v>
      </c>
    </row>
    <row r="90" spans="1:11" x14ac:dyDescent="0.25">
      <c r="A90" s="3">
        <v>89</v>
      </c>
      <c r="B90" s="3" t="s">
        <v>175</v>
      </c>
      <c r="C90" s="3" t="s">
        <v>176</v>
      </c>
      <c r="D90" s="3"/>
      <c r="E90" s="3" t="s">
        <v>9</v>
      </c>
      <c r="F90" s="3"/>
      <c r="G90" s="3">
        <v>0.37223000000000001</v>
      </c>
      <c r="H90" s="3"/>
      <c r="I90" s="3"/>
      <c r="J90" s="3"/>
      <c r="K90" s="3"/>
    </row>
    <row r="91" spans="1:11" x14ac:dyDescent="0.25">
      <c r="A91" s="1">
        <v>90</v>
      </c>
      <c r="B91" s="1" t="s">
        <v>177</v>
      </c>
      <c r="C91" s="1" t="s">
        <v>178</v>
      </c>
      <c r="D91" s="1"/>
      <c r="E91" s="1" t="s">
        <v>9</v>
      </c>
      <c r="F91" s="1"/>
      <c r="G91" s="1">
        <v>0.37102000000000002</v>
      </c>
      <c r="H91" s="1"/>
      <c r="I91" s="1"/>
      <c r="J91" s="1"/>
      <c r="K91" s="1"/>
    </row>
    <row r="92" spans="1:11" x14ac:dyDescent="0.25">
      <c r="A92" s="2">
        <v>91</v>
      </c>
      <c r="B92" s="2" t="s">
        <v>179</v>
      </c>
      <c r="C92" s="2" t="s">
        <v>180</v>
      </c>
      <c r="D92" s="2"/>
      <c r="E92" s="2" t="s">
        <v>9</v>
      </c>
      <c r="F92" s="2"/>
      <c r="G92" s="2">
        <v>0.37203999999999998</v>
      </c>
      <c r="H92" s="2"/>
      <c r="I92" s="2" t="str">
        <f>REPLACE(B90,21,2,"")</f>
        <v>Wicklow_09_133-135cm</v>
      </c>
      <c r="J92" s="2" t="str">
        <f>REPLACE(I92,1,11,"")</f>
        <v>133-135cm</v>
      </c>
      <c r="K92" s="2">
        <f>AVERAGE(G90:G92)</f>
        <v>0.37176333333333328</v>
      </c>
    </row>
    <row r="93" spans="1:11" x14ac:dyDescent="0.25">
      <c r="A93" s="3">
        <v>92</v>
      </c>
      <c r="B93" s="3" t="s">
        <v>181</v>
      </c>
      <c r="C93" s="3" t="s">
        <v>182</v>
      </c>
      <c r="D93" s="3"/>
      <c r="E93" s="3" t="s">
        <v>9</v>
      </c>
      <c r="F93" s="3"/>
      <c r="G93" s="3">
        <v>0.47373999999999999</v>
      </c>
      <c r="H93" s="3"/>
      <c r="I93" s="3"/>
      <c r="J93" s="3"/>
      <c r="K93" s="3"/>
    </row>
    <row r="94" spans="1:11" x14ac:dyDescent="0.25">
      <c r="A94" s="1">
        <v>93</v>
      </c>
      <c r="B94" s="1" t="s">
        <v>183</v>
      </c>
      <c r="C94" s="1" t="s">
        <v>184</v>
      </c>
      <c r="D94" s="1"/>
      <c r="E94" s="1" t="s">
        <v>9</v>
      </c>
      <c r="F94" s="1"/>
      <c r="G94" s="1">
        <v>0.47391</v>
      </c>
      <c r="H94" s="1"/>
      <c r="I94" s="1"/>
      <c r="J94" s="1"/>
      <c r="K94" s="1"/>
    </row>
    <row r="95" spans="1:11" x14ac:dyDescent="0.25">
      <c r="A95" s="2">
        <v>94</v>
      </c>
      <c r="B95" s="2" t="s">
        <v>185</v>
      </c>
      <c r="C95" s="2" t="s">
        <v>186</v>
      </c>
      <c r="D95" s="2"/>
      <c r="E95" s="2" t="s">
        <v>9</v>
      </c>
      <c r="F95" s="2"/>
      <c r="G95" s="2">
        <v>0.47360999999999998</v>
      </c>
      <c r="H95" s="2"/>
      <c r="I95" s="2" t="str">
        <f>REPLACE(B93,21,2,"")</f>
        <v>Wicklow_09_138-140cm</v>
      </c>
      <c r="J95" s="2" t="str">
        <f>REPLACE(I95,1,11,"")</f>
        <v>138-140cm</v>
      </c>
      <c r="K95" s="2">
        <f>AVERAGE(G93:G95)</f>
        <v>0.4737533333333333</v>
      </c>
    </row>
    <row r="96" spans="1:11" x14ac:dyDescent="0.25">
      <c r="A96" s="3">
        <v>95</v>
      </c>
      <c r="B96" s="3" t="s">
        <v>187</v>
      </c>
      <c r="C96" s="3" t="s">
        <v>188</v>
      </c>
      <c r="D96" s="3"/>
      <c r="E96" s="3" t="s">
        <v>9</v>
      </c>
      <c r="F96" s="3"/>
      <c r="G96" s="3">
        <v>0.51192000000000004</v>
      </c>
      <c r="H96" s="3"/>
      <c r="I96" s="3"/>
      <c r="J96" s="3"/>
      <c r="K96" s="3"/>
    </row>
    <row r="97" spans="1:11" x14ac:dyDescent="0.25">
      <c r="A97" s="1">
        <v>96</v>
      </c>
      <c r="B97" s="1" t="s">
        <v>189</v>
      </c>
      <c r="C97" s="1" t="s">
        <v>190</v>
      </c>
      <c r="D97" s="1"/>
      <c r="E97" s="1" t="s">
        <v>9</v>
      </c>
      <c r="F97" s="1"/>
      <c r="G97" s="1">
        <v>0.51341999999999999</v>
      </c>
      <c r="H97" s="1"/>
      <c r="I97" s="1"/>
      <c r="J97" s="1"/>
      <c r="K97" s="1"/>
    </row>
    <row r="98" spans="1:11" x14ac:dyDescent="0.25">
      <c r="A98" s="2">
        <v>97</v>
      </c>
      <c r="B98" s="2" t="s">
        <v>191</v>
      </c>
      <c r="C98" s="2" t="s">
        <v>192</v>
      </c>
      <c r="D98" s="2"/>
      <c r="E98" s="2" t="s">
        <v>9</v>
      </c>
      <c r="F98" s="2"/>
      <c r="G98" s="2">
        <v>0.51188</v>
      </c>
      <c r="H98" s="2"/>
      <c r="I98" s="2" t="str">
        <f>REPLACE(B96,21,2,"")</f>
        <v>Wicklow_09_143-145cm</v>
      </c>
      <c r="J98" s="2" t="str">
        <f>REPLACE(I98,1,11,"")</f>
        <v>143-145cm</v>
      </c>
      <c r="K98" s="2">
        <f>AVERAGE(G96:G98)</f>
        <v>0.51240666666666668</v>
      </c>
    </row>
    <row r="99" spans="1:11" x14ac:dyDescent="0.25">
      <c r="A99" s="3">
        <v>98</v>
      </c>
      <c r="B99" s="3" t="s">
        <v>193</v>
      </c>
      <c r="C99" s="3" t="s">
        <v>194</v>
      </c>
      <c r="D99" s="3"/>
      <c r="E99" s="3" t="s">
        <v>9</v>
      </c>
      <c r="F99" s="3"/>
      <c r="G99" s="3">
        <v>0.49806</v>
      </c>
      <c r="H99" s="3"/>
      <c r="I99" s="3"/>
      <c r="J99" s="3"/>
      <c r="K99" s="3"/>
    </row>
    <row r="100" spans="1:11" x14ac:dyDescent="0.25">
      <c r="A100" s="1">
        <v>99</v>
      </c>
      <c r="B100" s="1" t="s">
        <v>195</v>
      </c>
      <c r="C100" s="1" t="s">
        <v>196</v>
      </c>
      <c r="D100" s="1"/>
      <c r="E100" s="1" t="s">
        <v>9</v>
      </c>
      <c r="F100" s="1"/>
      <c r="G100" s="1">
        <v>0.49701000000000001</v>
      </c>
      <c r="H100" s="1"/>
      <c r="I100" s="1"/>
      <c r="J100" s="1"/>
      <c r="K100" s="1"/>
    </row>
    <row r="101" spans="1:11" x14ac:dyDescent="0.25">
      <c r="A101" s="2">
        <v>100</v>
      </c>
      <c r="B101" s="2" t="s">
        <v>198</v>
      </c>
      <c r="C101" s="2" t="s">
        <v>199</v>
      </c>
      <c r="D101" s="2"/>
      <c r="E101" s="2" t="s">
        <v>9</v>
      </c>
      <c r="F101" s="2"/>
      <c r="G101" s="2">
        <v>0.49618000000000001</v>
      </c>
      <c r="H101" s="2"/>
      <c r="I101" s="2" t="str">
        <f>REPLACE(B99,21,2,"")</f>
        <v>Wicklow_09_148-150cm</v>
      </c>
      <c r="J101" s="2" t="str">
        <f>REPLACE(I101,1,11,"")</f>
        <v>148-150cm</v>
      </c>
      <c r="K101" s="2">
        <f>AVERAGE(G99:G101)</f>
        <v>0.49708333333333332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A47F-4F0A-4349-B132-9B303CF52C6C}">
  <dimension ref="A1:D31"/>
  <sheetViews>
    <sheetView tabSelected="1" workbookViewId="0">
      <selection activeCell="C2" sqref="C2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10.28515625" customWidth="1"/>
    <col min="4" max="4" width="12" bestFit="1" customWidth="1"/>
  </cols>
  <sheetData>
    <row r="1" spans="1:4" x14ac:dyDescent="0.25">
      <c r="A1" t="s">
        <v>0</v>
      </c>
      <c r="B1" t="s">
        <v>204</v>
      </c>
      <c r="C1" t="s">
        <v>265</v>
      </c>
      <c r="D1" t="s">
        <v>200</v>
      </c>
    </row>
    <row r="2" spans="1:4" x14ac:dyDescent="0.25">
      <c r="A2" t="s">
        <v>205</v>
      </c>
      <c r="B2" t="s">
        <v>206</v>
      </c>
      <c r="C2" t="str">
        <f>REPLACE(B2,2,4,"")</f>
        <v>3</v>
      </c>
      <c r="D2">
        <v>0.26846999999999999</v>
      </c>
    </row>
    <row r="3" spans="1:4" ht="12.75" customHeight="1" x14ac:dyDescent="0.25">
      <c r="A3" t="s">
        <v>207</v>
      </c>
      <c r="B3" t="s">
        <v>208</v>
      </c>
      <c r="C3" t="str">
        <f>REPLACE(B3,2,5,"")</f>
        <v>8</v>
      </c>
      <c r="D3">
        <v>0.36662</v>
      </c>
    </row>
    <row r="4" spans="1:4" x14ac:dyDescent="0.25">
      <c r="A4" t="s">
        <v>209</v>
      </c>
      <c r="B4" t="s">
        <v>210</v>
      </c>
      <c r="C4" t="str">
        <f>REPLACE(B4,3,6,"")</f>
        <v>13</v>
      </c>
      <c r="D4">
        <v>0.36346999999999996</v>
      </c>
    </row>
    <row r="5" spans="1:4" x14ac:dyDescent="0.25">
      <c r="A5" t="s">
        <v>211</v>
      </c>
      <c r="B5" t="s">
        <v>212</v>
      </c>
      <c r="C5" t="str">
        <f t="shared" ref="C5:C21" si="0">REPLACE(B5,3,6,"")</f>
        <v>18</v>
      </c>
      <c r="D5">
        <v>0.34525666666666671</v>
      </c>
    </row>
    <row r="6" spans="1:4" x14ac:dyDescent="0.25">
      <c r="A6" t="s">
        <v>213</v>
      </c>
      <c r="B6" t="s">
        <v>214</v>
      </c>
      <c r="C6" t="str">
        <f t="shared" si="0"/>
        <v>23</v>
      </c>
      <c r="D6">
        <v>0.4389366666666667</v>
      </c>
    </row>
    <row r="7" spans="1:4" x14ac:dyDescent="0.25">
      <c r="A7" t="s">
        <v>215</v>
      </c>
      <c r="B7" t="s">
        <v>216</v>
      </c>
      <c r="C7" t="str">
        <f t="shared" si="0"/>
        <v>28</v>
      </c>
      <c r="D7">
        <v>0.44201666666666667</v>
      </c>
    </row>
    <row r="8" spans="1:4" x14ac:dyDescent="0.25">
      <c r="A8" t="s">
        <v>217</v>
      </c>
      <c r="B8" t="s">
        <v>218</v>
      </c>
      <c r="C8" t="str">
        <f t="shared" si="0"/>
        <v>33</v>
      </c>
      <c r="D8">
        <v>0.43361666666666671</v>
      </c>
    </row>
    <row r="9" spans="1:4" x14ac:dyDescent="0.25">
      <c r="A9" t="s">
        <v>219</v>
      </c>
      <c r="B9" t="s">
        <v>220</v>
      </c>
      <c r="C9" t="str">
        <f t="shared" si="0"/>
        <v>38</v>
      </c>
      <c r="D9">
        <v>0.40624333333333329</v>
      </c>
    </row>
    <row r="10" spans="1:4" x14ac:dyDescent="0.25">
      <c r="A10" t="s">
        <v>221</v>
      </c>
      <c r="B10" t="s">
        <v>222</v>
      </c>
      <c r="C10" t="str">
        <f t="shared" si="0"/>
        <v>43</v>
      </c>
      <c r="D10">
        <v>0.45156666666666667</v>
      </c>
    </row>
    <row r="11" spans="1:4" x14ac:dyDescent="0.25">
      <c r="A11" t="s">
        <v>223</v>
      </c>
      <c r="B11" t="s">
        <v>224</v>
      </c>
      <c r="C11" t="str">
        <f t="shared" si="0"/>
        <v>50</v>
      </c>
      <c r="D11">
        <v>0.37479666666666667</v>
      </c>
    </row>
    <row r="12" spans="1:4" x14ac:dyDescent="0.25">
      <c r="A12" t="s">
        <v>225</v>
      </c>
      <c r="B12" t="s">
        <v>226</v>
      </c>
      <c r="C12" t="str">
        <f t="shared" si="0"/>
        <v>53</v>
      </c>
      <c r="D12">
        <v>0.37174333333333331</v>
      </c>
    </row>
    <row r="13" spans="1:4" x14ac:dyDescent="0.25">
      <c r="A13" t="s">
        <v>227</v>
      </c>
      <c r="B13" t="s">
        <v>228</v>
      </c>
      <c r="C13" t="str">
        <f t="shared" si="0"/>
        <v>58</v>
      </c>
      <c r="D13">
        <v>0.2852466666666667</v>
      </c>
    </row>
    <row r="14" spans="1:4" x14ac:dyDescent="0.25">
      <c r="A14" t="s">
        <v>229</v>
      </c>
      <c r="B14" t="s">
        <v>230</v>
      </c>
      <c r="C14" t="str">
        <f t="shared" si="0"/>
        <v>63</v>
      </c>
      <c r="D14">
        <v>0.30831666666666663</v>
      </c>
    </row>
    <row r="15" spans="1:4" x14ac:dyDescent="0.25">
      <c r="A15" t="s">
        <v>231</v>
      </c>
      <c r="B15" t="s">
        <v>232</v>
      </c>
      <c r="C15" t="str">
        <f t="shared" si="0"/>
        <v>68</v>
      </c>
      <c r="D15">
        <v>0.27652000000000004</v>
      </c>
    </row>
    <row r="16" spans="1:4" x14ac:dyDescent="0.25">
      <c r="A16" t="s">
        <v>233</v>
      </c>
      <c r="B16" t="s">
        <v>234</v>
      </c>
      <c r="C16" t="str">
        <f t="shared" si="0"/>
        <v>73</v>
      </c>
      <c r="D16">
        <v>0.34687000000000001</v>
      </c>
    </row>
    <row r="17" spans="1:4" x14ac:dyDescent="0.25">
      <c r="A17" t="s">
        <v>235</v>
      </c>
      <c r="B17" t="s">
        <v>236</v>
      </c>
      <c r="C17" t="str">
        <f t="shared" si="0"/>
        <v>78</v>
      </c>
      <c r="D17">
        <v>0.37466333333333335</v>
      </c>
    </row>
    <row r="18" spans="1:4" x14ac:dyDescent="0.25">
      <c r="A18" t="s">
        <v>237</v>
      </c>
      <c r="B18" t="s">
        <v>238</v>
      </c>
      <c r="C18" t="str">
        <f t="shared" si="0"/>
        <v>83</v>
      </c>
      <c r="D18">
        <v>0.42650999999999994</v>
      </c>
    </row>
    <row r="19" spans="1:4" x14ac:dyDescent="0.25">
      <c r="A19" t="s">
        <v>239</v>
      </c>
      <c r="B19" t="s">
        <v>240</v>
      </c>
      <c r="C19" t="str">
        <f t="shared" si="0"/>
        <v>88</v>
      </c>
      <c r="D19">
        <v>0.39685999999999999</v>
      </c>
    </row>
    <row r="20" spans="1:4" x14ac:dyDescent="0.25">
      <c r="A20" t="s">
        <v>241</v>
      </c>
      <c r="B20" t="s">
        <v>242</v>
      </c>
      <c r="C20" t="str">
        <f t="shared" si="0"/>
        <v>93</v>
      </c>
      <c r="D20">
        <v>0.38047666666666674</v>
      </c>
    </row>
    <row r="21" spans="1:4" x14ac:dyDescent="0.25">
      <c r="A21" t="s">
        <v>243</v>
      </c>
      <c r="B21" t="s">
        <v>244</v>
      </c>
      <c r="C21" t="str">
        <f>REPLACE(B21,4,6,"")</f>
        <v>100</v>
      </c>
      <c r="D21">
        <v>0.45968999999999999</v>
      </c>
    </row>
    <row r="22" spans="1:4" x14ac:dyDescent="0.25">
      <c r="A22" t="s">
        <v>245</v>
      </c>
      <c r="B22" t="s">
        <v>246</v>
      </c>
      <c r="C22" t="str">
        <f t="shared" ref="C22:C31" si="1">REPLACE(B22,4,6,"")</f>
        <v>103</v>
      </c>
      <c r="D22">
        <v>0.41637666666666667</v>
      </c>
    </row>
    <row r="23" spans="1:4" x14ac:dyDescent="0.25">
      <c r="A23" t="s">
        <v>247</v>
      </c>
      <c r="B23" t="s">
        <v>248</v>
      </c>
      <c r="C23" t="str">
        <f t="shared" si="1"/>
        <v>108</v>
      </c>
      <c r="D23">
        <v>0.38061666666666666</v>
      </c>
    </row>
    <row r="24" spans="1:4" x14ac:dyDescent="0.25">
      <c r="A24" t="s">
        <v>249</v>
      </c>
      <c r="B24" t="s">
        <v>250</v>
      </c>
      <c r="C24" t="str">
        <f t="shared" si="1"/>
        <v>113</v>
      </c>
      <c r="D24">
        <v>0.31547666666666668</v>
      </c>
    </row>
    <row r="25" spans="1:4" x14ac:dyDescent="0.25">
      <c r="A25" t="s">
        <v>251</v>
      </c>
      <c r="B25" t="s">
        <v>252</v>
      </c>
      <c r="C25" t="str">
        <f t="shared" si="1"/>
        <v>118</v>
      </c>
      <c r="D25">
        <v>0.28269666666666665</v>
      </c>
    </row>
    <row r="26" spans="1:4" x14ac:dyDescent="0.25">
      <c r="A26" t="s">
        <v>253</v>
      </c>
      <c r="B26" t="s">
        <v>254</v>
      </c>
      <c r="C26" t="str">
        <f t="shared" si="1"/>
        <v>123</v>
      </c>
      <c r="D26">
        <v>0.2612733333333333</v>
      </c>
    </row>
    <row r="27" spans="1:4" x14ac:dyDescent="0.25">
      <c r="A27" t="s">
        <v>255</v>
      </c>
      <c r="B27" t="s">
        <v>256</v>
      </c>
      <c r="C27" t="str">
        <f t="shared" si="1"/>
        <v>128</v>
      </c>
      <c r="D27">
        <v>0.32300666666666666</v>
      </c>
    </row>
    <row r="28" spans="1:4" x14ac:dyDescent="0.25">
      <c r="A28" t="s">
        <v>257</v>
      </c>
      <c r="B28" t="s">
        <v>258</v>
      </c>
      <c r="C28" t="str">
        <f t="shared" si="1"/>
        <v>133</v>
      </c>
      <c r="D28">
        <v>0.37176333333333328</v>
      </c>
    </row>
    <row r="29" spans="1:4" x14ac:dyDescent="0.25">
      <c r="A29" t="s">
        <v>259</v>
      </c>
      <c r="B29" t="s">
        <v>260</v>
      </c>
      <c r="C29" t="str">
        <f t="shared" si="1"/>
        <v>138</v>
      </c>
      <c r="D29">
        <v>0.4737533333333333</v>
      </c>
    </row>
    <row r="30" spans="1:4" x14ac:dyDescent="0.25">
      <c r="A30" t="s">
        <v>261</v>
      </c>
      <c r="B30" t="s">
        <v>262</v>
      </c>
      <c r="C30" t="str">
        <f t="shared" si="1"/>
        <v>143</v>
      </c>
      <c r="D30">
        <v>0.51240666666666668</v>
      </c>
    </row>
    <row r="31" spans="1:4" x14ac:dyDescent="0.25">
      <c r="A31" t="s">
        <v>263</v>
      </c>
      <c r="B31" t="s">
        <v>264</v>
      </c>
      <c r="C31" t="str">
        <f t="shared" si="1"/>
        <v>148</v>
      </c>
      <c r="D31">
        <v>0.49708333333333332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humification results</vt:lpstr>
      <vt:lpstr>processed humification results</vt:lpstr>
      <vt:lpstr>code format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WILL EDGAR PATRICK RYAN</cp:lastModifiedBy>
  <dcterms:created xsi:type="dcterms:W3CDTF">2026-06-29T08:43:17Z</dcterms:created>
  <dcterms:modified xsi:type="dcterms:W3CDTF">2026-06-29T10:12:42Z</dcterms:modified>
</cp:coreProperties>
</file>